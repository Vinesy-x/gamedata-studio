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rvis/claude code/gamedata-studio/docs/"/>
    </mc:Choice>
  </mc:AlternateContent>
  <xr:revisionPtr revIDLastSave="0" documentId="13_ncr:1_{0E739A9D-CF38-C94C-9ACB-A1A4FD739EA8}" xr6:coauthVersionLast="47" xr6:coauthVersionMax="47" xr10:uidLastSave="{00000000-0000-0000-0000-000000000000}"/>
  <bookViews>
    <workbookView xWindow="0" yWindow="620" windowWidth="38400" windowHeight="19180" tabRatio="808" activeTab="2" xr2:uid="{00000000-000D-0000-FFFF-FFFF00000000}"/>
  </bookViews>
  <sheets>
    <sheet name="表格输出" sheetId="16" r:id="rId1"/>
    <sheet name="模板说明" sheetId="20" r:id="rId2"/>
    <sheet name="配置设置表" sheetId="17" r:id="rId3"/>
    <sheet name="说明表" sheetId="10" r:id="rId4"/>
    <sheet name="表名对照" sheetId="1" r:id="rId5"/>
    <sheet name="语言表" sheetId="2" r:id="rId6"/>
    <sheet name="系统表" sheetId="3" r:id="rId7"/>
    <sheet name="配置表" sheetId="4" r:id="rId8"/>
    <sheet name="物品表" sheetId="13" r:id="rId9"/>
    <sheet name="宝箱表" sheetId="19" r:id="rId10"/>
    <sheet name="属性强化表" sheetId="7" r:id="rId11"/>
    <sheet name="装备表" sheetId="15" r:id="rId12"/>
    <sheet name="玩家等级表" sheetId="18" r:id="rId13"/>
    <sheet name="关卡表" sheetId="11" r:id="rId14"/>
    <sheet name="等级效果表" sheetId="8" r:id="rId15"/>
    <sheet name="等级消耗表" sheetId="9" r:id="rId16"/>
    <sheet name="Sheet2" sheetId="21" r:id="rId1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13" l="1"/>
  <c r="R10" i="13"/>
  <c r="R11" i="13"/>
  <c r="O4" i="4" l="1"/>
  <c r="O5" i="4" s="1"/>
  <c r="O6" i="4" s="1"/>
  <c r="O7" i="4" s="1"/>
  <c r="O8" i="4" s="1"/>
  <c r="O9" i="4" s="1"/>
  <c r="O10" i="4" s="1"/>
  <c r="N6" i="19"/>
  <c r="N7" i="19" s="1"/>
  <c r="N8" i="19" s="1"/>
  <c r="Q53" i="13"/>
  <c r="R53" i="13"/>
  <c r="N3" i="19"/>
  <c r="N4" i="19" s="1"/>
  <c r="N5" i="19" s="1"/>
  <c r="Q52" i="13"/>
  <c r="R52" i="13"/>
  <c r="N24" i="8"/>
  <c r="N19" i="9"/>
  <c r="N20" i="9"/>
  <c r="N21" i="9" s="1"/>
  <c r="N22" i="9" s="1"/>
  <c r="N23" i="9" s="1"/>
  <c r="N24" i="9" s="1"/>
  <c r="N25" i="9" s="1"/>
  <c r="N26" i="9" s="1"/>
  <c r="N27" i="9" s="1"/>
  <c r="N28" i="9" s="1"/>
  <c r="N29" i="9" s="1"/>
  <c r="N30" i="9" s="1"/>
  <c r="N31" i="9" s="1"/>
  <c r="N32" i="9" s="1"/>
  <c r="N33" i="9" s="1"/>
  <c r="N34" i="9" s="1"/>
  <c r="N35" i="9" s="1"/>
  <c r="N36" i="9" s="1"/>
  <c r="N37" i="9" s="1"/>
  <c r="N38" i="9" s="1"/>
  <c r="N39" i="9" s="1"/>
  <c r="N40" i="9" s="1"/>
  <c r="N41" i="9" s="1"/>
  <c r="N42" i="9" s="1"/>
  <c r="N43" i="9" s="1"/>
  <c r="N44" i="9" s="1"/>
  <c r="N45" i="9" s="1"/>
  <c r="N46" i="9" s="1"/>
  <c r="N47" i="9" s="1"/>
  <c r="N48" i="9" s="1"/>
  <c r="N49" i="9" s="1"/>
  <c r="N50" i="9" s="1"/>
  <c r="N51" i="9" s="1"/>
  <c r="N52" i="9" s="1"/>
  <c r="N53" i="9" s="1"/>
  <c r="N54" i="9" s="1"/>
  <c r="N55" i="9" s="1"/>
  <c r="N56" i="9" s="1"/>
  <c r="N57" i="9" s="1"/>
  <c r="N58" i="9" s="1"/>
  <c r="N59" i="9" s="1"/>
  <c r="N60" i="9" s="1"/>
  <c r="N61" i="9" s="1"/>
  <c r="N62" i="9" s="1"/>
  <c r="N63" i="9" s="1"/>
  <c r="N64" i="9" s="1"/>
  <c r="N65" i="9" s="1"/>
  <c r="N66" i="9" s="1"/>
  <c r="N67" i="9" s="1"/>
  <c r="N68" i="9" s="1"/>
  <c r="N69" i="9" s="1"/>
  <c r="N70" i="9" s="1"/>
  <c r="N71" i="9" s="1"/>
  <c r="N72" i="9" s="1"/>
  <c r="N73" i="9" s="1"/>
  <c r="N74" i="9" s="1"/>
  <c r="N75" i="9" s="1"/>
  <c r="N76" i="9" s="1"/>
  <c r="N77" i="9" s="1"/>
  <c r="N78" i="9" s="1"/>
  <c r="N79" i="9" s="1"/>
  <c r="N80" i="9" s="1"/>
  <c r="N81" i="9" s="1"/>
  <c r="N82" i="9" s="1"/>
  <c r="N83" i="9" s="1"/>
  <c r="N84" i="9" s="1"/>
  <c r="N85" i="9" s="1"/>
  <c r="N86" i="9" s="1"/>
  <c r="N87" i="9" s="1"/>
  <c r="N88" i="9" s="1"/>
  <c r="N89" i="9" s="1"/>
  <c r="N90" i="9" s="1"/>
  <c r="N91" i="9" s="1"/>
  <c r="N92" i="9" s="1"/>
  <c r="N93" i="9" s="1"/>
  <c r="N94" i="9" s="1"/>
  <c r="N95" i="9" s="1"/>
  <c r="N96" i="9" s="1"/>
  <c r="N97" i="9" s="1"/>
  <c r="N98" i="9" s="1"/>
  <c r="N99" i="9" s="1"/>
  <c r="N100" i="9" s="1"/>
  <c r="N101" i="9" s="1"/>
  <c r="N102" i="9" s="1"/>
  <c r="N103" i="9" s="1"/>
  <c r="N104" i="9" s="1"/>
  <c r="N105" i="9" s="1"/>
  <c r="N106" i="9" s="1"/>
  <c r="N107" i="9" s="1"/>
  <c r="N108" i="9" s="1"/>
  <c r="N109" i="9" s="1"/>
  <c r="N110" i="9" s="1"/>
  <c r="N111" i="9" s="1"/>
  <c r="N112" i="9" s="1"/>
  <c r="N113" i="9" s="1"/>
  <c r="N114" i="9" s="1"/>
  <c r="N115" i="9" s="1"/>
  <c r="N116" i="9" s="1"/>
  <c r="N117" i="9" s="1"/>
  <c r="N118" i="9" s="1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20" i="9"/>
  <c r="R21" i="9"/>
  <c r="R22" i="9"/>
  <c r="R23" i="9"/>
  <c r="R19" i="9"/>
  <c r="S3" i="15"/>
  <c r="R4" i="15"/>
  <c r="S4" i="15" s="1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R5" i="15" l="1"/>
  <c r="J6" i="16"/>
  <c r="S5" i="15" l="1"/>
  <c r="R6" i="15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3" i="11"/>
  <c r="R8" i="13"/>
  <c r="R7" i="13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3" i="11"/>
  <c r="R4" i="11"/>
  <c r="R5" i="11"/>
  <c r="R6" i="11"/>
  <c r="R7" i="11"/>
  <c r="R8" i="11"/>
  <c r="R9" i="11"/>
  <c r="R10" i="11"/>
  <c r="R3" i="11"/>
  <c r="N23" i="7"/>
  <c r="N24" i="7"/>
  <c r="N25" i="7" s="1"/>
  <c r="N26" i="7" s="1"/>
  <c r="N27" i="7" s="1"/>
  <c r="N28" i="7" s="1"/>
  <c r="N29" i="7" s="1"/>
  <c r="N30" i="7" s="1"/>
  <c r="N31" i="7" s="1"/>
  <c r="N32" i="7" s="1"/>
  <c r="N8" i="8"/>
  <c r="N9" i="8" s="1"/>
  <c r="N22" i="7"/>
  <c r="N12" i="7"/>
  <c r="N13" i="7"/>
  <c r="N14" i="7" s="1"/>
  <c r="N15" i="7" s="1"/>
  <c r="N16" i="7" s="1"/>
  <c r="N17" i="7" s="1"/>
  <c r="N18" i="7" s="1"/>
  <c r="N19" i="7" s="1"/>
  <c r="N20" i="7" s="1"/>
  <c r="N21" i="7" s="1"/>
  <c r="N4" i="7"/>
  <c r="N5" i="7"/>
  <c r="N6" i="7"/>
  <c r="N7" i="7"/>
  <c r="N8" i="7"/>
  <c r="N9" i="7" s="1"/>
  <c r="N10" i="7" s="1"/>
  <c r="N11" i="7" s="1"/>
  <c r="N3" i="7"/>
  <c r="N4" i="9"/>
  <c r="N5" i="9"/>
  <c r="N6" i="9"/>
  <c r="N7" i="9" s="1"/>
  <c r="N8" i="9" s="1"/>
  <c r="N9" i="9" s="1"/>
  <c r="N10" i="9" s="1"/>
  <c r="N11" i="9" s="1"/>
  <c r="N12" i="9" s="1"/>
  <c r="N13" i="9" s="1"/>
  <c r="N14" i="9" s="1"/>
  <c r="N15" i="9" s="1"/>
  <c r="N16" i="9" s="1"/>
  <c r="N17" i="9" s="1"/>
  <c r="N18" i="9" s="1"/>
  <c r="N3" i="9"/>
  <c r="N3" i="8"/>
  <c r="N4" i="8" s="1"/>
  <c r="N5" i="8" s="1"/>
  <c r="N6" i="8" s="1"/>
  <c r="N7" i="8" s="1"/>
  <c r="O3" i="4"/>
  <c r="S6" i="15" l="1"/>
  <c r="R7" i="15"/>
  <c r="N10" i="8"/>
  <c r="N11" i="8" s="1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N23" i="8" s="1"/>
  <c r="R8" i="15" l="1"/>
  <c r="S7" i="15"/>
  <c r="R9" i="15" l="1"/>
  <c r="S8" i="15"/>
  <c r="R10" i="15" l="1"/>
  <c r="S9" i="15"/>
  <c r="R11" i="15" l="1"/>
  <c r="S10" i="15"/>
  <c r="R12" i="15" l="1"/>
  <c r="S11" i="15"/>
  <c r="R13" i="15" l="1"/>
  <c r="S12" i="15"/>
  <c r="R14" i="15" l="1"/>
  <c r="S13" i="15"/>
  <c r="R15" i="15" l="1"/>
  <c r="S14" i="15"/>
  <c r="R16" i="15" l="1"/>
  <c r="S15" i="15"/>
  <c r="R17" i="15" l="1"/>
  <c r="S16" i="15"/>
  <c r="R18" i="15" l="1"/>
  <c r="S17" i="15"/>
  <c r="R19" i="15" l="1"/>
  <c r="S18" i="15"/>
  <c r="R20" i="15" l="1"/>
  <c r="S19" i="15"/>
  <c r="R21" i="15" l="1"/>
  <c r="S20" i="15"/>
  <c r="R22" i="15" l="1"/>
  <c r="S22" i="15" s="1"/>
  <c r="S2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D21" authorId="0" shapeId="0" xr:uid="{4ACEC4AD-3641-402C-B03C-EE3E966B4D25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默认字体为红，上传git库时会将标红的文件上传，强制覆盖上传！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F36" authorId="0" shapeId="0" xr:uid="{5A28B7C9-0196-466A-A9EA-7BA69162DD36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配置到版本中，用于快速查找版本配置的内容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YANQU</author>
    <author>1</author>
  </authors>
  <commentList>
    <comment ref="A1" authorId="0" shapeId="0" xr:uid="{FAA6A829-25AF-43D8-A9B1-11A373EDBEA0}">
      <text>
        <r>
          <rPr>
            <b/>
            <sz val="9"/>
            <color indexed="81"/>
            <rFont val="宋体"/>
            <family val="3"/>
            <charset val="134"/>
          </rPr>
          <t>YANQU:</t>
        </r>
        <r>
          <rPr>
            <sz val="9"/>
            <color indexed="81"/>
            <rFont val="宋体"/>
            <family val="3"/>
            <charset val="134"/>
          </rPr>
          <t xml:space="preserve">
远程机器人
设备：995 778 242
密码：183 611</t>
        </r>
      </text>
    </comment>
    <comment ref="B1" authorId="1" shapeId="0" xr:uid="{B1096C02-467D-42FE-B240-DE5FD8645EB9}">
      <text>
        <r>
          <rPr>
            <b/>
            <sz val="9"/>
            <color indexed="81"/>
            <rFont val="宋体"/>
            <family val="3"/>
            <charset val="134"/>
          </rPr>
          <t>1:</t>
        </r>
        <r>
          <rPr>
            <sz val="9"/>
            <color indexed="81"/>
            <rFont val="宋体"/>
            <family val="3"/>
            <charset val="134"/>
          </rPr>
          <t xml:space="preserve">
红字表明距离上次输出，发生改变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  <author>Administrator</author>
  </authors>
  <commentList>
    <comment ref="S7" authorId="0" shapeId="0" xr:uid="{49E51D42-15B8-44DD-AD24-56CDF3A5C82A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1 主线任务数量
2 玩家等级
3 开服天数</t>
        </r>
      </text>
    </comment>
    <comment ref="U7" authorId="1" shapeId="0" xr:uid="{420382B6-5460-4F2B-9486-18A0C5C12BC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仙途展示-有解锁奖励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T6" authorId="0" shapeId="0" xr:uid="{3E9B5D6D-FCBD-414B-B723-2FEE00D2CB4B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1 普通道具
2 武器
3 衣服
4 时装
5 随机宝箱
6 自选宝箱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U2" authorId="0" shapeId="0" xr:uid="{606F4F76-CFB9-4906-9FAA-D0A83E578D27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突破至下级加成显示为当前突破下级加成 - 上一级突破下级加成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Q2" authorId="0" shapeId="0" xr:uid="{FC7ED207-3C6B-408E-B292-4A1031ABB374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1 攻击千分比
2 生命千分比</t>
        </r>
      </text>
    </comment>
    <comment ref="R2" authorId="0" shapeId="0" xr:uid="{94E8588C-EACD-432D-9774-F36C2AFF7720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千分比属性</t>
        </r>
      </text>
    </comment>
    <comment ref="S2" authorId="0" shapeId="0" xr:uid="{CCCDDEBC-50CE-4510-8C95-15C05E6BBBD3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千分比属性</t>
        </r>
      </text>
    </comment>
    <comment ref="U2" authorId="0" shapeId="0" xr:uid="{03FC7441-6D6A-4A15-A6FD-68B9B3696E06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此升级效果针对于拥有和佩戴属性，且使用基础属性*升级属性/1000</t>
        </r>
      </text>
    </comment>
    <comment ref="V2" authorId="0" shapeId="0" xr:uid="{A04F15D6-E05C-4344-8454-7B6985FBEC04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升级总奖励=升级奖励*升级时消耗装备数量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S2" authorId="0" shapeId="0" xr:uid="{0F6250F5-6CB8-430F-A3B8-2EB444BE4B75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怪物id|怪物数量;怪物id|怪物数量</t>
        </r>
      </text>
    </comment>
    <comment ref="T2" authorId="0" shapeId="0" xr:uid="{C8303242-7D15-4419-BF81-FBD26F410032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自定义不同的出怪方式（暂定）：
1 所有怪间隔(0~0.2秒)依次出现
2 先出近战怪，再间隔(1~2秒)后出现远程怪
3 先出boss，再间隔(1~2)秒后出所有小怪</t>
        </r>
      </text>
    </comment>
    <comment ref="W2" authorId="0" shapeId="0" xr:uid="{2BE6486B-1460-4A59-8A43-4A83C135EAFE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用于前期战斗爽快一些，额外给一些奖励，每次击杀怪物将直接给n秒的挂机收益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P2" authorId="0" shapeId="0" xr:uid="{A8BBE5D8-FB53-4E5C-9AC3-5D78D21A54BD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0 依赖等级线 每一级直接配置为效果值
1 等差，基础值参数1+(等级-1）*递增值参数2，当有基础值时，只需要取递增值参数2
2 等比，基础值参数1*等比值参数2^（等级-1），当有基础值时，只需要取等比值参数2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P2" authorId="0" shapeId="0" xr:uid="{8E81F396-6FE8-4ABA-A8BF-F04C14D08015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0 依赖等级线 每一级直接配置为消耗值
1 等差，基础值参数1+(等级-1）*递增值参数2，当有基础值时，只需要取递增值参数2
2 等比，基础值参数1*等比值参数2^（等级-1），当有基础值时，只需要取等比值参数2</t>
        </r>
      </text>
    </comment>
  </commentList>
</comments>
</file>

<file path=xl/sharedStrings.xml><?xml version="1.0" encoding="utf-8"?>
<sst xmlns="http://schemas.openxmlformats.org/spreadsheetml/2006/main" count="1059" uniqueCount="574">
  <si>
    <t>当前操作</t>
    <phoneticPr fontId="2" type="noConversion"/>
  </si>
  <si>
    <t>#工作状态#</t>
    <phoneticPr fontId="2" type="noConversion"/>
  </si>
  <si>
    <t>空</t>
    <phoneticPr fontId="2" type="noConversion"/>
  </si>
  <si>
    <t>#操作标识#</t>
    <phoneticPr fontId="2" type="noConversion"/>
  </si>
  <si>
    <t>#数据表版本#</t>
    <phoneticPr fontId="2" type="noConversion"/>
  </si>
  <si>
    <t>#输出版本#</t>
    <phoneticPr fontId="2" type="noConversion"/>
  </si>
  <si>
    <t>国内</t>
  </si>
  <si>
    <t>#输出版本号#</t>
    <phoneticPr fontId="2" type="noConversion"/>
  </si>
  <si>
    <t>#操作人#</t>
    <phoneticPr fontId="2" type="noConversion"/>
  </si>
  <si>
    <t>孙青松</t>
  </si>
  <si>
    <t>#输出表格结果#</t>
    <phoneticPr fontId="2" type="noConversion"/>
  </si>
  <si>
    <t>输出表格数</t>
    <phoneticPr fontId="2" type="noConversion"/>
  </si>
  <si>
    <t>语言版本设置</t>
    <phoneticPr fontId="2" type="noConversion"/>
  </si>
  <si>
    <t>#版本列表#</t>
    <phoneticPr fontId="2" type="noConversion"/>
  </si>
  <si>
    <t>输出线路</t>
    <phoneticPr fontId="2" type="noConversion"/>
  </si>
  <si>
    <t>Git目录</t>
    <phoneticPr fontId="2" type="noConversion"/>
  </si>
  <si>
    <t>备注目录</t>
    <phoneticPr fontId="2" type="noConversion"/>
  </si>
  <si>
    <t>主干版本</t>
    <phoneticPr fontId="2" type="noConversion"/>
  </si>
  <si>
    <t>版号包</t>
    <phoneticPr fontId="2" type="noConversion"/>
  </si>
  <si>
    <t>日本</t>
    <phoneticPr fontId="2" type="noConversion"/>
  </si>
  <si>
    <t>韩国</t>
    <phoneticPr fontId="2" type="noConversion"/>
  </si>
  <si>
    <t>越南</t>
    <phoneticPr fontId="2" type="noConversion"/>
  </si>
  <si>
    <t>国际版本</t>
    <phoneticPr fontId="2" type="noConversion"/>
  </si>
  <si>
    <t>大陆小游戏版本</t>
  </si>
  <si>
    <t>#线路列表#</t>
    <phoneticPr fontId="2" type="noConversion"/>
  </si>
  <si>
    <t>线路字段</t>
    <phoneticPr fontId="2" type="noConversion"/>
  </si>
  <si>
    <t>备注</t>
    <phoneticPr fontId="2" type="noConversion"/>
  </si>
  <si>
    <t>roads_0</t>
    <phoneticPr fontId="2" type="noConversion"/>
  </si>
  <si>
    <t>总线路</t>
    <phoneticPr fontId="2" type="noConversion"/>
  </si>
  <si>
    <t>roads_1</t>
    <phoneticPr fontId="2" type="noConversion"/>
  </si>
  <si>
    <t>简体中文线路</t>
    <phoneticPr fontId="2" type="noConversion"/>
  </si>
  <si>
    <t>roads_2</t>
  </si>
  <si>
    <t>版号包线路</t>
  </si>
  <si>
    <t>roads_3</t>
  </si>
  <si>
    <t>韩文线路</t>
    <phoneticPr fontId="2" type="noConversion"/>
  </si>
  <si>
    <t>roads_4</t>
  </si>
  <si>
    <t>日文线路</t>
    <phoneticPr fontId="2" type="noConversion"/>
  </si>
  <si>
    <t>roads_5</t>
    <phoneticPr fontId="2" type="noConversion"/>
  </si>
  <si>
    <t>越南线路</t>
    <phoneticPr fontId="2" type="noConversion"/>
  </si>
  <si>
    <t>roads_6</t>
    <phoneticPr fontId="2" type="noConversion"/>
  </si>
  <si>
    <t>多语言线路</t>
    <phoneticPr fontId="2" type="noConversion"/>
  </si>
  <si>
    <t>roads_7</t>
    <phoneticPr fontId="2" type="noConversion"/>
  </si>
  <si>
    <t>其他1线路</t>
    <phoneticPr fontId="2" type="noConversion"/>
  </si>
  <si>
    <t>roads_8</t>
    <phoneticPr fontId="2" type="noConversion"/>
  </si>
  <si>
    <t>其他2线路</t>
    <phoneticPr fontId="2" type="noConversion"/>
  </si>
  <si>
    <t>#人员代码#</t>
    <phoneticPr fontId="2" type="noConversion"/>
  </si>
  <si>
    <t>人员名称</t>
    <phoneticPr fontId="2" type="noConversion"/>
  </si>
  <si>
    <t>配置代码</t>
    <phoneticPr fontId="2" type="noConversion"/>
  </si>
  <si>
    <t>机器码</t>
    <phoneticPr fontId="2" type="noConversion"/>
  </si>
  <si>
    <t>孙青松</t>
    <phoneticPr fontId="2" type="noConversion"/>
  </si>
  <si>
    <t>s</t>
    <phoneticPr fontId="2" type="noConversion"/>
  </si>
  <si>
    <t>机器人</t>
  </si>
  <si>
    <t>r</t>
  </si>
  <si>
    <t>Default string</t>
    <phoneticPr fontId="2" type="noConversion"/>
  </si>
  <si>
    <t>#Git通用提交日志#</t>
    <phoneticPr fontId="2" type="noConversion"/>
  </si>
  <si>
    <t>属性条目</t>
    <phoneticPr fontId="2" type="noConversion"/>
  </si>
  <si>
    <t>#输出控制#</t>
    <phoneticPr fontId="2" type="noConversion"/>
  </si>
  <si>
    <t>功能表名</t>
    <phoneticPr fontId="2" type="noConversion"/>
  </si>
  <si>
    <t>输出表名</t>
    <phoneticPr fontId="2" type="noConversion"/>
  </si>
  <si>
    <t>是否输出表</t>
    <phoneticPr fontId="2" type="noConversion"/>
  </si>
  <si>
    <t>系统表</t>
    <phoneticPr fontId="2" type="noConversion"/>
  </si>
  <si>
    <t>SystemInfo</t>
    <phoneticPr fontId="2" type="noConversion"/>
  </si>
  <si>
    <t>配置表</t>
    <phoneticPr fontId="2" type="noConversion"/>
  </si>
  <si>
    <t>GameConfig</t>
    <phoneticPr fontId="2" type="noConversion"/>
  </si>
  <si>
    <t>物品表</t>
    <phoneticPr fontId="2" type="noConversion"/>
  </si>
  <si>
    <t>GameItem</t>
    <phoneticPr fontId="2" type="noConversion"/>
  </si>
  <si>
    <t>宝箱表</t>
    <phoneticPr fontId="2" type="noConversion"/>
  </si>
  <si>
    <t>GameBox</t>
    <phoneticPr fontId="2" type="noConversion"/>
  </si>
  <si>
    <t>玩家等级表</t>
    <phoneticPr fontId="2" type="noConversion"/>
  </si>
  <si>
    <t>PlayerLevel</t>
    <phoneticPr fontId="2" type="noConversion"/>
  </si>
  <si>
    <t>属性强化表</t>
    <phoneticPr fontId="2" type="noConversion"/>
  </si>
  <si>
    <t>AttributeEnhance</t>
    <phoneticPr fontId="2" type="noConversion"/>
  </si>
  <si>
    <t>装备表</t>
    <phoneticPr fontId="2" type="noConversion"/>
  </si>
  <si>
    <t>Equipment</t>
    <phoneticPr fontId="2" type="noConversion"/>
  </si>
  <si>
    <t>等级效果表</t>
    <phoneticPr fontId="2" type="noConversion"/>
  </si>
  <si>
    <t>LevelEffect</t>
    <phoneticPr fontId="2" type="noConversion"/>
  </si>
  <si>
    <t>LevelConsume</t>
    <phoneticPr fontId="2" type="noConversion"/>
  </si>
  <si>
    <t>关卡表</t>
    <phoneticPr fontId="2" type="noConversion"/>
  </si>
  <si>
    <t>GameStage</t>
    <phoneticPr fontId="2" type="noConversion"/>
  </si>
  <si>
    <t>语言表</t>
    <phoneticPr fontId="2" type="noConversion"/>
  </si>
  <si>
    <t>LanguageWord</t>
    <phoneticPr fontId="2" type="noConversion"/>
  </si>
  <si>
    <t>version_r</t>
  </si>
  <si>
    <t>roads_0</t>
  </si>
  <si>
    <t>roads_1</t>
  </si>
  <si>
    <t>roads_5</t>
  </si>
  <si>
    <t>roads_6</t>
  </si>
  <si>
    <t>roads_7</t>
  </si>
  <si>
    <t>roads_8</t>
  </si>
  <si>
    <t>#配置区域#</t>
  </si>
  <si>
    <t>name=string</t>
    <phoneticPr fontId="2" type="noConversion"/>
  </si>
  <si>
    <t>name_zh_0=string</t>
  </si>
  <si>
    <t>版本行属</t>
  </si>
  <si>
    <t>简体</t>
  </si>
  <si>
    <t>简体净化</t>
  </si>
  <si>
    <t>繁体版本</t>
  </si>
  <si>
    <t>韩国版本</t>
  </si>
  <si>
    <t>日本版本</t>
  </si>
  <si>
    <t>越南版本</t>
  </si>
  <si>
    <t>多语言线路</t>
  </si>
  <si>
    <t>大陆小游戏</t>
  </si>
  <si>
    <t>其他2线路</t>
  </si>
  <si>
    <t>key_英文</t>
    <phoneticPr fontId="2" type="noConversion"/>
  </si>
  <si>
    <t>中文</t>
    <phoneticPr fontId="2" type="noConversion"/>
  </si>
  <si>
    <t>Attribute_Desc-1</t>
    <phoneticPr fontId="2" type="noConversion"/>
  </si>
  <si>
    <t>攻击</t>
  </si>
  <si>
    <t>Attribute_Desc-2</t>
  </si>
  <si>
    <t>生命</t>
  </si>
  <si>
    <t>Attribute_Desc-3</t>
  </si>
  <si>
    <t>攻速</t>
  </si>
  <si>
    <t>Attribute_Desc-4</t>
  </si>
  <si>
    <t>暴击</t>
  </si>
  <si>
    <t>Attribute_Desc-5</t>
  </si>
  <si>
    <t>抗暴</t>
  </si>
  <si>
    <t>Attribute_Desc-6</t>
  </si>
  <si>
    <t>闪避</t>
  </si>
  <si>
    <t>Attribute_Desc-7</t>
  </si>
  <si>
    <t>命中</t>
  </si>
  <si>
    <t>Attribute_Desc-8</t>
  </si>
  <si>
    <t>吸血</t>
  </si>
  <si>
    <t>Attribute_Desc-9</t>
  </si>
  <si>
    <t>金币获得</t>
  </si>
  <si>
    <t>Attribute_Desc-10</t>
  </si>
  <si>
    <t>经验获得</t>
  </si>
  <si>
    <t>Attribute_Desc-11</t>
  </si>
  <si>
    <t>普通伤害</t>
  </si>
  <si>
    <t>Attribute_Desc-12</t>
  </si>
  <si>
    <t>技能伤害</t>
  </si>
  <si>
    <t>Attribute_Desc-13</t>
  </si>
  <si>
    <t>BOSS伤害</t>
  </si>
  <si>
    <t>Chatper_Name-1</t>
    <phoneticPr fontId="2" type="noConversion"/>
  </si>
  <si>
    <t>祖先的足迹</t>
    <phoneticPr fontId="2" type="noConversion"/>
  </si>
  <si>
    <t>Chatper_Name-2</t>
  </si>
  <si>
    <t>失落的部落</t>
    <phoneticPr fontId="2" type="noConversion"/>
  </si>
  <si>
    <t>Chatper_Name-3</t>
  </si>
  <si>
    <t>狩猎与采集</t>
    <phoneticPr fontId="2" type="noConversion"/>
  </si>
  <si>
    <t>Chatper_Name-4</t>
  </si>
  <si>
    <t>火种传承</t>
    <phoneticPr fontId="2" type="noConversion"/>
  </si>
  <si>
    <t>Chatper_Name-5</t>
  </si>
  <si>
    <t>原始文明崛起</t>
    <phoneticPr fontId="2" type="noConversion"/>
  </si>
  <si>
    <t>Chatper_Name-6</t>
  </si>
  <si>
    <t>部落争霸</t>
    <phoneticPr fontId="2" type="noConversion"/>
  </si>
  <si>
    <t>Chatper_Name-7</t>
  </si>
  <si>
    <t>神秘洞穴探索</t>
    <phoneticPr fontId="2" type="noConversion"/>
  </si>
  <si>
    <t>Chatper_Name-8</t>
  </si>
  <si>
    <t>远古神器</t>
    <phoneticPr fontId="2" type="noConversion"/>
  </si>
  <si>
    <t>Chatper_Name-9</t>
  </si>
  <si>
    <t>部族联盟</t>
    <phoneticPr fontId="2" type="noConversion"/>
  </si>
  <si>
    <t>Chatper_Name-10</t>
  </si>
  <si>
    <t>文明的曙光</t>
    <phoneticPr fontId="2" type="noConversion"/>
  </si>
  <si>
    <t>id=int</t>
  </si>
  <si>
    <t>name=string</t>
  </si>
  <si>
    <t>desc=string</t>
  </si>
  <si>
    <t>icon=int</t>
    <phoneticPr fontId="2" type="noConversion"/>
  </si>
  <si>
    <t>sort=int</t>
    <phoneticPr fontId="2" type="noConversion"/>
  </si>
  <si>
    <t>conditionType=int</t>
  </si>
  <si>
    <t>value=int</t>
  </si>
  <si>
    <t>reward=string</t>
  </si>
  <si>
    <t>notice=int</t>
    <phoneticPr fontId="2" type="noConversion"/>
  </si>
  <si>
    <t>系统ID</t>
    <phoneticPr fontId="2" type="noConversion"/>
  </si>
  <si>
    <t>系统图标</t>
    <phoneticPr fontId="2" type="noConversion"/>
  </si>
  <si>
    <t>图标排序</t>
    <phoneticPr fontId="2" type="noConversion"/>
  </si>
  <si>
    <t>解锁条件类型</t>
  </si>
  <si>
    <t>解锁值</t>
  </si>
  <si>
    <t>解锁奖励</t>
  </si>
  <si>
    <t>解锁提示</t>
    <phoneticPr fontId="2" type="noConversion"/>
  </si>
  <si>
    <t>param=string</t>
  </si>
  <si>
    <t>value=string</t>
  </si>
  <si>
    <t>key_序号</t>
    <phoneticPr fontId="2" type="noConversion"/>
  </si>
  <si>
    <t>参数名</t>
  </si>
  <si>
    <t>参数值</t>
  </si>
  <si>
    <t>CONFIG_VERSION</t>
  </si>
  <si>
    <t>版本号</t>
    <phoneticPr fontId="2" type="noConversion"/>
  </si>
  <si>
    <t>ATTRIBUTE_VALUE_LIST</t>
  </si>
  <si>
    <t>100|100|100|100|100|100|100|100</t>
  </si>
  <si>
    <t>二级属性价值量列表</t>
    <phoneticPr fontId="2" type="noConversion"/>
  </si>
  <si>
    <t>SUMMONS_WEAPON_CONSUMER_LIST</t>
    <phoneticPr fontId="2" type="noConversion"/>
  </si>
  <si>
    <t>10|100000|500;35|100000|1500</t>
    <phoneticPr fontId="2" type="noConversion"/>
  </si>
  <si>
    <t>召唤武器消耗：抽奖次数|消耗道具ID|抽奖消耗</t>
    <phoneticPr fontId="2" type="noConversion"/>
  </si>
  <si>
    <t>SUMMONS_WEAPON_AD_MAXIMUM</t>
    <phoneticPr fontId="2" type="noConversion"/>
  </si>
  <si>
    <t>召唤武器每天免费广告最多可观看次数</t>
    <phoneticPr fontId="2" type="noConversion"/>
  </si>
  <si>
    <t>SUMMONS_CLOTH_CONSUMER_LIST</t>
    <phoneticPr fontId="2" type="noConversion"/>
  </si>
  <si>
    <t>召唤服饰消耗：抽奖次数|消耗道具ID|抽奖消耗</t>
    <phoneticPr fontId="2" type="noConversion"/>
  </si>
  <si>
    <t>SUMMONS_CLOTH_AD_MAXIMUM</t>
    <phoneticPr fontId="2" type="noConversion"/>
  </si>
  <si>
    <t>召唤服饰每天免费广告最多可观看次数</t>
    <phoneticPr fontId="2" type="noConversion"/>
  </si>
  <si>
    <t>SUMMONS_PARTNER_CONSUMER_LIST</t>
    <phoneticPr fontId="2" type="noConversion"/>
  </si>
  <si>
    <t>召唤伙伴消耗：抽奖次数|消耗道具ID|抽奖消耗</t>
    <phoneticPr fontId="2" type="noConversion"/>
  </si>
  <si>
    <t>SUMMONS_PARTNER_CLOTH_AD_MAXIMUM</t>
    <phoneticPr fontId="2" type="noConversion"/>
  </si>
  <si>
    <t>召唤伙伴每天免费广告最多可观看次数</t>
    <phoneticPr fontId="2" type="noConversion"/>
  </si>
  <si>
    <t>icon=string</t>
  </si>
  <si>
    <t>quality=int</t>
    <phoneticPr fontId="2" type="noConversion"/>
  </si>
  <si>
    <t>type=int</t>
  </si>
  <si>
    <t>params=string</t>
  </si>
  <si>
    <t>extendParam=string</t>
  </si>
  <si>
    <t>getWay=string</t>
  </si>
  <si>
    <t>isHidden=int</t>
  </si>
  <si>
    <t>canBagUse=int</t>
  </si>
  <si>
    <t>sort=int</t>
  </si>
  <si>
    <t>物品id</t>
    <phoneticPr fontId="2" type="noConversion"/>
  </si>
  <si>
    <t>物品品质</t>
  </si>
  <si>
    <t>物品类别</t>
  </si>
  <si>
    <t>参数列表</t>
  </si>
  <si>
    <t>扩展参数</t>
  </si>
  <si>
    <t>钻石</t>
    <phoneticPr fontId="2" type="noConversion"/>
  </si>
  <si>
    <t>流通于世界的货币，可用于购买大部分商品。</t>
    <phoneticPr fontId="2" type="noConversion"/>
  </si>
  <si>
    <t>0|0|0|0</t>
    <phoneticPr fontId="2" type="noConversion"/>
  </si>
  <si>
    <t>经验</t>
    <phoneticPr fontId="2" type="noConversion"/>
  </si>
  <si>
    <t>击杀怪物或放置获得，用于提升玩家等级。</t>
    <phoneticPr fontId="2" type="noConversion"/>
  </si>
  <si>
    <t>金币</t>
    <phoneticPr fontId="2" type="noConversion"/>
  </si>
  <si>
    <t>世界主要货币可用于强化属性</t>
    <phoneticPr fontId="2" type="noConversion"/>
  </si>
  <si>
    <t>红色石头</t>
    <phoneticPr fontId="2" type="noConversion"/>
  </si>
  <si>
    <t>用于解锁和升级技能。</t>
    <phoneticPr fontId="2" type="noConversion"/>
  </si>
  <si>
    <t>蓝色石头</t>
    <phoneticPr fontId="2" type="noConversion"/>
  </si>
  <si>
    <t>燧石匕首</t>
  </si>
  <si>
    <t>木制弓</t>
  </si>
  <si>
    <t>石斧</t>
  </si>
  <si>
    <t>狩猎长矛</t>
  </si>
  <si>
    <t>火把剑</t>
  </si>
  <si>
    <t>骨弩</t>
  </si>
  <si>
    <t>硬木盾牌</t>
  </si>
  <si>
    <t>石制战锤</t>
  </si>
  <si>
    <t>毒刺之矛</t>
  </si>
  <si>
    <t>火焰手里剑</t>
  </si>
  <si>
    <t>角斗士长剑</t>
  </si>
  <si>
    <t>鹰眼弓</t>
  </si>
  <si>
    <t>熊皮护甲</t>
  </si>
  <si>
    <t>魔法法杖</t>
  </si>
  <si>
    <t>黑曜石利刃</t>
  </si>
  <si>
    <t>猛虎爪套</t>
  </si>
  <si>
    <t>铁质战斧</t>
  </si>
  <si>
    <t>神圣之锤</t>
  </si>
  <si>
    <t>彩虹长弓</t>
  </si>
  <si>
    <t>龙鳞盾牌</t>
  </si>
  <si>
    <t>皮革护腕</t>
  </si>
  <si>
    <t>草编头盔</t>
  </si>
  <si>
    <t>兽皮披风</t>
  </si>
  <si>
    <t>麻布长袍</t>
  </si>
  <si>
    <t>石块胸甲</t>
  </si>
  <si>
    <t>兽骨护腿</t>
  </si>
  <si>
    <t>熊皮护肩</t>
  </si>
  <si>
    <t>藤蔓腰带</t>
  </si>
  <si>
    <t>羽毛护胸</t>
  </si>
  <si>
    <t>野兽面具</t>
  </si>
  <si>
    <t>火焰披风</t>
  </si>
  <si>
    <t>龙皮手套</t>
  </si>
  <si>
    <t>丝绸长袍</t>
  </si>
  <si>
    <t>钢铁胸甲</t>
  </si>
  <si>
    <t>能量护腕</t>
  </si>
  <si>
    <t>水晶头冠</t>
  </si>
  <si>
    <t>飞行斗篷</t>
  </si>
  <si>
    <t>光明护盾</t>
  </si>
  <si>
    <t>岩石护腰</t>
  </si>
  <si>
    <t>彩虹战袍</t>
  </si>
  <si>
    <t>发光的宝箱</t>
    <phoneticPr fontId="2" type="noConversion"/>
  </si>
  <si>
    <t>生锈的宝箱</t>
    <phoneticPr fontId="2" type="noConversion"/>
  </si>
  <si>
    <t>boxId=int</t>
  </si>
  <si>
    <t>itemId=int</t>
  </si>
  <si>
    <t>minNum=int</t>
  </si>
  <si>
    <t>maxNum=int</t>
  </si>
  <si>
    <t>randomType=int</t>
  </si>
  <si>
    <t>probability=int</t>
  </si>
  <si>
    <t>isNotice=int</t>
  </si>
  <si>
    <t>配置id</t>
  </si>
  <si>
    <t>宝箱id</t>
  </si>
  <si>
    <t>道具id</t>
  </si>
  <si>
    <t>道具最少数量</t>
  </si>
  <si>
    <t>道具最多数量</t>
  </si>
  <si>
    <t>随机类型</t>
  </si>
  <si>
    <t>概率权重</t>
  </si>
  <si>
    <t>是否公告</t>
  </si>
  <si>
    <t>stage=int</t>
    <phoneticPr fontId="2" type="noConversion"/>
  </si>
  <si>
    <t>maxLevel=int</t>
    <phoneticPr fontId="2" type="noConversion"/>
  </si>
  <si>
    <t>attribute=int</t>
    <phoneticPr fontId="2" type="noConversion"/>
  </si>
  <si>
    <t>upgradeConsumeType=int</t>
    <phoneticPr fontId="2" type="noConversion"/>
  </si>
  <si>
    <t>upgradeEffectType=int</t>
    <phoneticPr fontId="2" type="noConversion"/>
  </si>
  <si>
    <t>eraLimit=int</t>
    <phoneticPr fontId="2" type="noConversion"/>
  </si>
  <si>
    <t>breakAdd=int</t>
    <phoneticPr fontId="2" type="noConversion"/>
  </si>
  <si>
    <t>强化阶段</t>
    <phoneticPr fontId="2" type="noConversion"/>
  </si>
  <si>
    <t>最大等级</t>
    <phoneticPr fontId="2" type="noConversion"/>
  </si>
  <si>
    <t>属性类型</t>
    <phoneticPr fontId="2" type="noConversion"/>
  </si>
  <si>
    <t>升级消耗类型</t>
    <phoneticPr fontId="2" type="noConversion"/>
  </si>
  <si>
    <t>升级效果类型</t>
    <phoneticPr fontId="2" type="noConversion"/>
  </si>
  <si>
    <t>最低时代限制</t>
    <phoneticPr fontId="2" type="noConversion"/>
  </si>
  <si>
    <t>突破至下级加成总千分比</t>
    <phoneticPr fontId="2" type="noConversion"/>
  </si>
  <si>
    <t>star=int</t>
    <phoneticPr fontId="2" type="noConversion"/>
  </si>
  <si>
    <t>attributeType=int</t>
    <phoneticPr fontId="2" type="noConversion"/>
  </si>
  <si>
    <t>attributeOwnerBase=int</t>
    <phoneticPr fontId="2" type="noConversion"/>
  </si>
  <si>
    <t>attributeEquipBase=int</t>
    <phoneticPr fontId="2" type="noConversion"/>
  </si>
  <si>
    <t>rewards=int[]</t>
    <phoneticPr fontId="2" type="noConversion"/>
  </si>
  <si>
    <t>装备id</t>
    <phoneticPr fontId="2" type="noConversion"/>
  </si>
  <si>
    <t>星级</t>
    <phoneticPr fontId="2" type="noConversion"/>
  </si>
  <si>
    <t>拥有基础属性</t>
    <phoneticPr fontId="2" type="noConversion"/>
  </si>
  <si>
    <t>佩戴基础属性</t>
    <phoneticPr fontId="2" type="noConversion"/>
  </si>
  <si>
    <t>升级奖励</t>
    <phoneticPr fontId="2" type="noConversion"/>
  </si>
  <si>
    <t>武器名字</t>
    <phoneticPr fontId="2" type="noConversion"/>
  </si>
  <si>
    <t>100003|1</t>
    <phoneticPr fontId="2" type="noConversion"/>
  </si>
  <si>
    <t>100003|2</t>
  </si>
  <si>
    <t>100003|3</t>
  </si>
  <si>
    <t>100003|4</t>
  </si>
  <si>
    <t>100003|5</t>
  </si>
  <si>
    <t>100003|6</t>
  </si>
  <si>
    <t>100003|7</t>
  </si>
  <si>
    <t>100003|8</t>
  </si>
  <si>
    <t>100003|9</t>
  </si>
  <si>
    <t>100003|10</t>
  </si>
  <si>
    <t>100003|11</t>
  </si>
  <si>
    <t>100003|12</t>
  </si>
  <si>
    <t>100003|13</t>
  </si>
  <si>
    <t>100003|14</t>
  </si>
  <si>
    <t>100003|15</t>
  </si>
  <si>
    <t>100003|16</t>
  </si>
  <si>
    <t>100003|17</t>
  </si>
  <si>
    <t>100003|18</t>
  </si>
  <si>
    <t>100003|19</t>
  </si>
  <si>
    <t>100003|20</t>
  </si>
  <si>
    <t>100004|1</t>
    <phoneticPr fontId="2" type="noConversion"/>
  </si>
  <si>
    <t>100004|2</t>
  </si>
  <si>
    <t>100004|3</t>
  </si>
  <si>
    <t>100004|4</t>
  </si>
  <si>
    <t>100004|5</t>
  </si>
  <si>
    <t>100004|6</t>
  </si>
  <si>
    <t>100004|7</t>
  </si>
  <si>
    <t>100004|8</t>
  </si>
  <si>
    <t>100004|9</t>
  </si>
  <si>
    <t>100004|10</t>
  </si>
  <si>
    <t>100004|11</t>
  </si>
  <si>
    <t>100004|12</t>
  </si>
  <si>
    <t>100004|13</t>
  </si>
  <si>
    <t>100004|14</t>
  </si>
  <si>
    <t>100004|15</t>
  </si>
  <si>
    <t>100004|16</t>
  </si>
  <si>
    <t>100004|17</t>
  </si>
  <si>
    <t>100004|18</t>
  </si>
  <si>
    <t>100004|19</t>
  </si>
  <si>
    <t>100004|20</t>
  </si>
  <si>
    <t>exp=int</t>
    <phoneticPr fontId="2" type="noConversion"/>
  </si>
  <si>
    <t>APParm=int</t>
    <phoneticPr fontId="2" type="noConversion"/>
  </si>
  <si>
    <t>HPParm=int</t>
    <phoneticPr fontId="2" type="noConversion"/>
  </si>
  <si>
    <t>玩家等级</t>
    <phoneticPr fontId="2" type="noConversion"/>
  </si>
  <si>
    <t>下级所需经验</t>
    <phoneticPr fontId="2" type="noConversion"/>
  </si>
  <si>
    <t>攻击系数</t>
    <phoneticPr fontId="2" type="noConversion"/>
  </si>
  <si>
    <t>生命系数</t>
    <phoneticPr fontId="2" type="noConversion"/>
  </si>
  <si>
    <t>chapter=int</t>
    <phoneticPr fontId="2" type="noConversion"/>
  </si>
  <si>
    <t>section=int</t>
    <phoneticPr fontId="2" type="noConversion"/>
  </si>
  <si>
    <t>waves=int</t>
    <phoneticPr fontId="2" type="noConversion"/>
  </si>
  <si>
    <t>background=int</t>
    <phoneticPr fontId="2" type="noConversion"/>
  </si>
  <si>
    <t>monsterList=int[][]</t>
    <phoneticPr fontId="2" type="noConversion"/>
  </si>
  <si>
    <t>formationType=int</t>
    <phoneticPr fontId="2" type="noConversion"/>
  </si>
  <si>
    <t>monsterLevel=int</t>
    <phoneticPr fontId="2" type="noConversion"/>
  </si>
  <si>
    <t>idleReward=int[][]</t>
    <phoneticPr fontId="2" type="noConversion"/>
  </si>
  <si>
    <t>killReward=int</t>
    <phoneticPr fontId="2" type="noConversion"/>
  </si>
  <si>
    <t>firstReward=int[][]</t>
    <phoneticPr fontId="2" type="noConversion"/>
  </si>
  <si>
    <t>key_序号id</t>
    <phoneticPr fontId="2" type="noConversion"/>
  </si>
  <si>
    <t>章节</t>
    <phoneticPr fontId="2" type="noConversion"/>
  </si>
  <si>
    <t>小节</t>
    <phoneticPr fontId="2" type="noConversion"/>
  </si>
  <si>
    <t>波数</t>
    <phoneticPr fontId="2" type="noConversion"/>
  </si>
  <si>
    <t>怪物id列表</t>
    <phoneticPr fontId="2" type="noConversion"/>
  </si>
  <si>
    <t>怪物列阵类型</t>
    <phoneticPr fontId="2" type="noConversion"/>
  </si>
  <si>
    <t>怪物等级</t>
    <phoneticPr fontId="2" type="noConversion"/>
  </si>
  <si>
    <t>每秒挂机奖励</t>
    <phoneticPr fontId="2" type="noConversion"/>
  </si>
  <si>
    <t>前期击败奖励</t>
    <phoneticPr fontId="2" type="noConversion"/>
  </si>
  <si>
    <t>首次通过获得奖励</t>
    <phoneticPr fontId="2" type="noConversion"/>
  </si>
  <si>
    <t>10000|2;10001|2</t>
    <phoneticPr fontId="2" type="noConversion"/>
  </si>
  <si>
    <t>100001|20;100002|20</t>
    <phoneticPr fontId="2" type="noConversion"/>
  </si>
  <si>
    <t>10000|5</t>
    <phoneticPr fontId="2" type="noConversion"/>
  </si>
  <si>
    <t>10000|2;10001|2;10002|3</t>
    <phoneticPr fontId="2" type="noConversion"/>
  </si>
  <si>
    <t>10000|4;10002;4</t>
    <phoneticPr fontId="2" type="noConversion"/>
  </si>
  <si>
    <t>10010|1</t>
    <phoneticPr fontId="2" type="noConversion"/>
  </si>
  <si>
    <t>100000|100</t>
    <phoneticPr fontId="2" type="noConversion"/>
  </si>
  <si>
    <t>100001|30;100002|30</t>
    <phoneticPr fontId="2" type="noConversion"/>
  </si>
  <si>
    <t>type=int</t>
    <phoneticPr fontId="2" type="noConversion"/>
  </si>
  <si>
    <t>formulaType=int</t>
    <phoneticPr fontId="2" type="noConversion"/>
  </si>
  <si>
    <t>level=int</t>
    <phoneticPr fontId="2" type="noConversion"/>
  </si>
  <si>
    <t>effect=string</t>
    <phoneticPr fontId="2" type="noConversion"/>
  </si>
  <si>
    <t>公式类型</t>
    <phoneticPr fontId="2" type="noConversion"/>
  </si>
  <si>
    <t>等级</t>
    <phoneticPr fontId="2" type="noConversion"/>
  </si>
  <si>
    <t>效果值</t>
    <phoneticPr fontId="2" type="noConversion"/>
  </si>
  <si>
    <t>10|10</t>
    <phoneticPr fontId="2" type="noConversion"/>
  </si>
  <si>
    <t>0|20</t>
    <phoneticPr fontId="2" type="noConversion"/>
  </si>
  <si>
    <t>0|30</t>
    <phoneticPr fontId="2" type="noConversion"/>
  </si>
  <si>
    <t>0|40</t>
    <phoneticPr fontId="2" type="noConversion"/>
  </si>
  <si>
    <t>0|50</t>
    <phoneticPr fontId="2" type="noConversion"/>
  </si>
  <si>
    <t>1000|10</t>
    <phoneticPr fontId="2" type="noConversion"/>
  </si>
  <si>
    <t>1000|100</t>
    <phoneticPr fontId="2" type="noConversion"/>
  </si>
  <si>
    <t>consume=string</t>
    <phoneticPr fontId="2" type="noConversion"/>
  </si>
  <si>
    <t>该模板可方便数据表的管理维护，尤其对地区和版本的控制方便，可精细化控制到单个数据</t>
    <phoneticPr fontId="2" type="noConversion"/>
  </si>
  <si>
    <t>一、模板用途与优点</t>
    <phoneticPr fontId="2" type="noConversion"/>
  </si>
  <si>
    <t>该模板可用于多人协同开发，包括数值、策划、前后端和其他人员</t>
    <phoneticPr fontId="2" type="noConversion"/>
  </si>
  <si>
    <t>该模板极大简化了数据表的更新修改流程，降低了操作成本，使成员更关注设计内容</t>
    <phoneticPr fontId="2" type="noConversion"/>
  </si>
  <si>
    <t>只有本地使用的成员才需要开通，比如数值。协作人无需开通，可直接通过网页版操作数据表</t>
    <phoneticPr fontId="2" type="noConversion"/>
  </si>
  <si>
    <t>二、模板准备工作</t>
    <phoneticPr fontId="2" type="noConversion"/>
  </si>
  <si>
    <t>创建Microsoft账号</t>
    <phoneticPr fontId="2" type="noConversion"/>
  </si>
  <si>
    <t>可使用私有邮箱注册，不要使用企业邮箱</t>
    <phoneticPr fontId="2" type="noConversion"/>
  </si>
  <si>
    <t>订阅产品</t>
    <phoneticPr fontId="2" type="noConversion"/>
  </si>
  <si>
    <t>开通此服务的成员可使用多台设备包括移动端登录</t>
    <phoneticPr fontId="2" type="noConversion"/>
  </si>
  <si>
    <t>下载安装Office365</t>
    <phoneticPr fontId="2" type="noConversion"/>
  </si>
  <si>
    <t>该模板使用Office365的OneDrive服务，使用者需要订阅office365，建议开通家庭版，至多可分享至其余5人</t>
    <phoneticPr fontId="2" type="noConversion"/>
  </si>
  <si>
    <t>一般电脑默认安装WPS，建议先卸载，再安装Office365</t>
    <phoneticPr fontId="2" type="noConversion"/>
  </si>
  <si>
    <t>安装好后，登录注册的邮箱</t>
    <phoneticPr fontId="2" type="noConversion"/>
  </si>
  <si>
    <t>若打开此模板提示如下内容，则需要进行安全网络配置，网址https://d.docs.live.net</t>
    <phoneticPr fontId="2" type="noConversion"/>
  </si>
  <si>
    <t>excel本地配置</t>
    <phoneticPr fontId="2" type="noConversion"/>
  </si>
  <si>
    <t>模板配置</t>
    <phoneticPr fontId="2" type="noConversion"/>
  </si>
  <si>
    <t>模板配置主要是用于成员个人的电脑端设置</t>
    <phoneticPr fontId="2" type="noConversion"/>
  </si>
  <si>
    <t>模板配置需要在“配置设置表”中配置</t>
    <phoneticPr fontId="2" type="noConversion"/>
  </si>
  <si>
    <t>机器码用于识别当前操作的机器，防止协作时操作出现混乱</t>
    <phoneticPr fontId="2" type="noConversion"/>
  </si>
  <si>
    <t>机器码可通过查看机器码.xlsm 进行提取，存放在A1单元格中</t>
    <phoneticPr fontId="2" type="noConversion"/>
  </si>
  <si>
    <t>人员代码编号为顺序降序，可随意删减，只保留此表允许导出上传等操作的成员(网页协作人员无需配置)</t>
    <phoneticPr fontId="2" type="noConversion"/>
  </si>
  <si>
    <t>配置代码为标识数据表内容的配置所属，单人维护时无需，多人维护时用于快速定位版本修改内容等</t>
    <phoneticPr fontId="2" type="noConversion"/>
  </si>
  <si>
    <t>版本列表中主要设定不同的地区版本，在项目研发阶段，无需太多关注</t>
    <phoneticPr fontId="2" type="noConversion"/>
  </si>
  <si>
    <t>Git目录配置需要将此版本输出到本地的哪个git库中，{0}代表输出的版本号</t>
    <phoneticPr fontId="2" type="noConversion"/>
  </si>
  <si>
    <t>三、模板关键介绍</t>
    <phoneticPr fontId="2" type="noConversion"/>
  </si>
  <si>
    <t>表格输出</t>
    <phoneticPr fontId="2" type="noConversion"/>
  </si>
  <si>
    <t>控制表的导出、上传与重置</t>
    <phoneticPr fontId="2" type="noConversion"/>
  </si>
  <si>
    <t>导出</t>
    <phoneticPr fontId="2" type="noConversion"/>
  </si>
  <si>
    <t>默认为空，且在运行结束后自动变为空</t>
    <phoneticPr fontId="2" type="noConversion"/>
  </si>
  <si>
    <t>修改为导出后，VBA运行导出数据表，成功后变为空</t>
    <phoneticPr fontId="2" type="noConversion"/>
  </si>
  <si>
    <t>上传</t>
    <phoneticPr fontId="2" type="noConversion"/>
  </si>
  <si>
    <t>根据版本和输出表格，运行上传到Git，成功后变为空</t>
    <phoneticPr fontId="2" type="noConversion"/>
  </si>
  <si>
    <t>重置</t>
    <phoneticPr fontId="2" type="noConversion"/>
  </si>
  <si>
    <t>当导出或上传出现报错等，重置一些操作，功能同按钮</t>
    <phoneticPr fontId="2" type="noConversion"/>
  </si>
  <si>
    <t>（在网页协作时，无法启用按钮）</t>
    <phoneticPr fontId="2" type="noConversion"/>
  </si>
  <si>
    <t>工作状态，默认为空，当其他人在导出或上传时，显示运行中</t>
    <phoneticPr fontId="2" type="noConversion"/>
  </si>
  <si>
    <t>需保证工作状态为空，下方输出表格数为空或0</t>
    <phoneticPr fontId="2" type="noConversion"/>
  </si>
  <si>
    <t>需保证工作状态为空，下方输出表格数&gt;1，列表有数据</t>
    <phoneticPr fontId="2" type="noConversion"/>
  </si>
  <si>
    <t>本次导出变动的表格数量</t>
    <phoneticPr fontId="2" type="noConversion"/>
  </si>
  <si>
    <t>同时导出本次导出的表格列表</t>
    <phoneticPr fontId="2" type="noConversion"/>
  </si>
  <si>
    <t>输出版本</t>
    <phoneticPr fontId="2" type="noConversion"/>
  </si>
  <si>
    <t>当前需要导出的版本，代表了其路径</t>
    <phoneticPr fontId="2" type="noConversion"/>
  </si>
  <si>
    <t>输出版本号</t>
    <phoneticPr fontId="2" type="noConversion"/>
  </si>
  <si>
    <t>当前数据表要导出的版本号</t>
    <phoneticPr fontId="2" type="noConversion"/>
  </si>
  <si>
    <t>操作人</t>
    <phoneticPr fontId="2" type="noConversion"/>
  </si>
  <si>
    <t>需要在哪个成员电脑上进行导出操作</t>
    <phoneticPr fontId="2" type="noConversion"/>
  </si>
  <si>
    <t>表名对照</t>
    <phoneticPr fontId="2" type="noConversion"/>
  </si>
  <si>
    <t>输出版本，一般情况下无需修改，每次导出自增1，用于识别当前包的数据表版本号前后端是否统一</t>
    <phoneticPr fontId="2" type="noConversion"/>
  </si>
  <si>
    <t>从1.0开始，纯数字，可往上递增，支持1.021等，不支持非数字格式</t>
    <phoneticPr fontId="2" type="noConversion"/>
  </si>
  <si>
    <t>若配置2.0，则此表只有在导出2.0包括2.0版本时才会被检测和导出</t>
    <phoneticPr fontId="2" type="noConversion"/>
  </si>
  <si>
    <t>即工作簿名</t>
    <phoneticPr fontId="2" type="noConversion"/>
  </si>
  <si>
    <t>即导出到本地的单表名，用于前后端使用</t>
    <phoneticPr fontId="2" type="noConversion"/>
  </si>
  <si>
    <t>默认TURE，配置FALSE时，则此表在任何版本都会被忽略</t>
    <phoneticPr fontId="2" type="noConversion"/>
  </si>
  <si>
    <t>数据配置</t>
    <phoneticPr fontId="2" type="noConversion"/>
  </si>
  <si>
    <t>版本列属</t>
    <phoneticPr fontId="2" type="noConversion"/>
  </si>
  <si>
    <t>行控制：</t>
    <phoneticPr fontId="2" type="noConversion"/>
  </si>
  <si>
    <t>用于控制数据单行，通过版本号进行控制该行是否导出</t>
    <phoneticPr fontId="2" type="noConversion"/>
  </si>
  <si>
    <t>列控制：</t>
    <phoneticPr fontId="2" type="noConversion"/>
  </si>
  <si>
    <t>数据区：</t>
    <phoneticPr fontId="2" type="noConversion"/>
  </si>
  <si>
    <t>配置数据区域</t>
    <phoneticPr fontId="2" type="noConversion"/>
  </si>
  <si>
    <t>版本号：版本号有数字和成员配置代码构成，成员配置代码可不写</t>
    <phoneticPr fontId="2" type="noConversion"/>
  </si>
  <si>
    <t>版本号的格式如下：</t>
    <phoneticPr fontId="2" type="noConversion"/>
  </si>
  <si>
    <t>1.2~1.5</t>
    <phoneticPr fontId="2" type="noConversion"/>
  </si>
  <si>
    <t>格式</t>
    <phoneticPr fontId="2" type="noConversion"/>
  </si>
  <si>
    <t>等价</t>
    <phoneticPr fontId="2" type="noConversion"/>
  </si>
  <si>
    <t>说明</t>
    <phoneticPr fontId="2" type="noConversion"/>
  </si>
  <si>
    <t>最常用，代表1.1包含1.1版本以上的内容，</t>
    <phoneticPr fontId="2" type="noConversion"/>
  </si>
  <si>
    <t>[ 1.2 , 1.5)</t>
    <phoneticPr fontId="2" type="noConversion"/>
  </si>
  <si>
    <t>1.2s~1.5s</t>
    <phoneticPr fontId="2" type="noConversion"/>
  </si>
  <si>
    <t>1.2~1.5s</t>
    <phoneticPr fontId="2" type="noConversion"/>
  </si>
  <si>
    <t>同上，只是增加了成员配置代码</t>
    <phoneticPr fontId="2" type="noConversion"/>
  </si>
  <si>
    <t>~2.0</t>
    <phoneticPr fontId="2" type="noConversion"/>
  </si>
  <si>
    <t>代表1.1版本以下，不包含1.1版本</t>
    <phoneticPr fontId="2" type="noConversion"/>
  </si>
  <si>
    <t>注：在行控制时只有当版本行属和线路版本号都满足条件时，才可导出数据，列控制同理，但一般情况下列控制不会用在地区差异上</t>
    <phoneticPr fontId="2" type="noConversion"/>
  </si>
  <si>
    <t>不导出</t>
    <phoneticPr fontId="2" type="noConversion"/>
  </si>
  <si>
    <t>配置空，则不会导出</t>
    <phoneticPr fontId="2" type="noConversion"/>
  </si>
  <si>
    <t>简写模式，为了方便配置，增加了简写模式，方便在版本上的递增维护</t>
    <phoneticPr fontId="2" type="noConversion"/>
  </si>
  <si>
    <t>下例等价于</t>
    <phoneticPr fontId="2" type="noConversion"/>
  </si>
  <si>
    <t>1~1.3</t>
    <phoneticPr fontId="2" type="noConversion"/>
  </si>
  <si>
    <t>1.3~1.4</t>
    <phoneticPr fontId="2" type="noConversion"/>
  </si>
  <si>
    <t>此配置存在1至1.3版本</t>
    <phoneticPr fontId="2" type="noConversion"/>
  </si>
  <si>
    <t>此配置存在1.3至1.4版本</t>
    <phoneticPr fontId="2" type="noConversion"/>
  </si>
  <si>
    <t>此配置存在1.4版本以上</t>
    <phoneticPr fontId="2" type="noConversion"/>
  </si>
  <si>
    <r>
      <rPr>
        <sz val="11"/>
        <color rgb="FFFF0000"/>
        <rFont val="等线"/>
        <family val="3"/>
        <charset val="134"/>
        <scheme val="minor"/>
      </rPr>
      <t>在同key(强制设定第一列为主key)情况下</t>
    </r>
    <r>
      <rPr>
        <sz val="11"/>
        <color theme="1"/>
        <rFont val="等线"/>
        <family val="2"/>
        <scheme val="minor"/>
      </rPr>
      <t>，版本号可进行简写，只写当前版本即可，且向下版本号递增</t>
    </r>
    <phoneticPr fontId="2" type="noConversion"/>
  </si>
  <si>
    <t>VBA实现逻辑：当前行若满足版本条件，会对比上一条的key，若相同，则强制替换上一条，防止打包报错，同时没有判定版本号大小</t>
    <phoneticPr fontId="2" type="noConversion"/>
  </si>
  <si>
    <t>用于控制数据单列，通过版本号进行控制该列是否导出，一般情况下非必要可不进行控制</t>
    <phoneticPr fontId="2" type="noConversion"/>
  </si>
  <si>
    <t>版本号的实际应用举例：</t>
    <phoneticPr fontId="2" type="noConversion"/>
  </si>
  <si>
    <t>在多版本和地区差异的需求下，可实现精细化控制数据，同时可历史对比所有的数据变更情况</t>
    <phoneticPr fontId="2" type="noConversion"/>
  </si>
  <si>
    <t>版本号控制过多时可进行上述的简化：</t>
    <phoneticPr fontId="2" type="noConversion"/>
  </si>
  <si>
    <t>TALENT_CONFIG_LIST</t>
  </si>
  <si>
    <t>10000;24|10001;25|10002;30|10010;44;41;42;33;59|10011;38;39;45;57;60|10013;61;62;67</t>
  </si>
  <si>
    <t>10000;24|10001;25|10002;30|10010;44;41;42;33;59;64|10011;38;39;45;57;60|10013;61;62;67</t>
  </si>
  <si>
    <t>10000;24|10001;25|10002;30|10010;44;41;42;33;59;64|10011;38;39;45;57;60;72|10013;61;62;67</t>
  </si>
  <si>
    <t>10000;24|10001;25|10002;30|10010;44;41;42;33;59;64;76|10011;38;39;45;57;60;72|10013;61;62;67</t>
  </si>
  <si>
    <t>10000;24|10001;25|10002;30|10010;44;41;42;33;59;64;76;91|10011;38;39;45;57;60;72|10013;61;62;67</t>
  </si>
  <si>
    <t>10000;24|10001;25|10002;30|10010;44;41;42;33;59;64;76;91|10011;38;39;45;57;60;72;95|10013;61;62;67</t>
  </si>
  <si>
    <t>7.2x</t>
  </si>
  <si>
    <t>10000;24|10001;25|10002;30|10010;44;41;42;33;59;64;76;91|10011;38;39;45;57;60;72;95|10013;61;62;67|10014;283</t>
  </si>
  <si>
    <t>SKINS_CONFIG_LIST</t>
  </si>
  <si>
    <t>20000;36|20001;37|20002;40|20003;50</t>
  </si>
  <si>
    <t>20000;36|20001;37|20002;40|20003;50|20004;54</t>
  </si>
  <si>
    <t>20000;36|20001;37|20002;40|20003;50|20004;54|20005;65</t>
  </si>
  <si>
    <r>
      <t>20000;36;0|20001;37;0|20002;40</t>
    </r>
    <r>
      <rPr>
        <sz val="10"/>
        <color rgb="FFFF0000"/>
        <rFont val="等线"/>
        <family val="3"/>
        <charset val="134"/>
        <scheme val="minor"/>
      </rPr>
      <t>;78</t>
    </r>
    <r>
      <rPr>
        <sz val="10"/>
        <rFont val="等线"/>
        <family val="3"/>
        <charset val="134"/>
        <scheme val="minor"/>
      </rPr>
      <t>|20003;50;0|20004;54;0|20005;65;81|20007;79;80</t>
    </r>
  </si>
  <si>
    <t>20000;36;0|20001;37;0|20002;40;78|20003;50;0|20004;54;0|20005;65;81|20007;79;80|20008;98;98</t>
  </si>
  <si>
    <t>VEHICLE_CONFIG_LIST</t>
  </si>
  <si>
    <t>30000;35|30001;51</t>
  </si>
  <si>
    <t>30000;35|30001;51|30002;74</t>
  </si>
  <si>
    <t>6.7m</t>
  </si>
  <si>
    <t>30000;35|30001;51|30002;74|30003;92</t>
  </si>
  <si>
    <t>NPC_TRADE_EVENT_DEFAULT</t>
  </si>
  <si>
    <t>20001;20002;20003</t>
  </si>
  <si>
    <t>NPC_TRADE_EVENT_REFRESH_TIME</t>
  </si>
  <si>
    <t>NPC_TRADE_EVENT_GUILD_ID</t>
  </si>
  <si>
    <t>NPC_TALK_EVENT_REFRESH_TIME</t>
  </si>
  <si>
    <t>43200;64800</t>
  </si>
  <si>
    <t>5.7g</t>
  </si>
  <si>
    <t>HONGKONG_WIND_EVENT_REFRESH_TIME</t>
  </si>
  <si>
    <t>~3.3</t>
  </si>
  <si>
    <t>GIVE_BEAUTY_GIFT_TEN_VIP_LIMIT</t>
  </si>
  <si>
    <t>4;30</t>
  </si>
  <si>
    <t>5.6z</t>
  </si>
  <si>
    <t>5.7z</t>
  </si>
  <si>
    <t>0;0</t>
  </si>
  <si>
    <t>GIVE_BEAUTY_GIFT_TEN_BEAUTY_NUM_LIMIT</t>
  </si>
  <si>
    <t>GIVE_BEAUTY_GIFT_HUNDRED_VIP_LIMIT</t>
  </si>
  <si>
    <t>5.6c</t>
  </si>
  <si>
    <t>~3.5</t>
  </si>
  <si>
    <t>COMMON_ACTIVITY_TEN_VIP_LIMIT</t>
  </si>
  <si>
    <t>COMMON_ACTIVITY_TEN_TITLE_LIMIT</t>
  </si>
  <si>
    <t>6.7x</t>
  </si>
  <si>
    <t>ONE_KEY_CHARITABLE_TEN</t>
  </si>
  <si>
    <t>ONE_KEY_CHARITABLE_TEN_LIMIT_RATIO</t>
  </si>
  <si>
    <t>SKIN_MALL_RANDOM_SHOW_NUM</t>
  </si>
  <si>
    <t>1|1</t>
  </si>
  <si>
    <t>4.5h</t>
  </si>
  <si>
    <t>ASSISTANT_SKIN_MALL_RANDOM_SHOW_NUM</t>
  </si>
  <si>
    <t>7|30</t>
  </si>
  <si>
    <t>BLACKLIST_MAX_COUNT</t>
  </si>
  <si>
    <t>4.7c</t>
    <phoneticPr fontId="2" type="noConversion"/>
  </si>
  <si>
    <t>5.7g</t>
    <phoneticPr fontId="2" type="noConversion"/>
  </si>
  <si>
    <t>6.6z</t>
    <phoneticPr fontId="2" type="noConversion"/>
  </si>
  <si>
    <t>7.0m</t>
    <phoneticPr fontId="2" type="noConversion"/>
  </si>
  <si>
    <t>5.2c</t>
    <phoneticPr fontId="2" type="noConversion"/>
  </si>
  <si>
    <t>5.7c</t>
    <phoneticPr fontId="2" type="noConversion"/>
  </si>
  <si>
    <t>5.5z</t>
    <phoneticPr fontId="2" type="noConversion"/>
  </si>
  <si>
    <t>其他实际应用中常用：</t>
    <phoneticPr fontId="2" type="noConversion"/>
  </si>
  <si>
    <r>
      <t>范围控制，代表1.2到1.5版本之间，</t>
    </r>
    <r>
      <rPr>
        <sz val="11"/>
        <color rgb="FFFF0000"/>
        <rFont val="等线"/>
        <family val="3"/>
        <charset val="134"/>
        <scheme val="minor"/>
      </rPr>
      <t>注意是波浪号~，不是横线-</t>
    </r>
    <phoneticPr fontId="2" type="noConversion"/>
  </si>
  <si>
    <t>该模板可直接链接模型数据表，在研发期可更快速的调整数值</t>
    <phoneticPr fontId="2" type="noConversion"/>
  </si>
  <si>
    <t>version_c</t>
    <phoneticPr fontId="2" type="noConversion"/>
  </si>
  <si>
    <t>language_系统名称</t>
  </si>
  <si>
    <t>language_系统描述</t>
  </si>
  <si>
    <t>language_物品描述</t>
    <phoneticPr fontId="2" type="noConversion"/>
  </si>
  <si>
    <t>获取途径</t>
  </si>
  <si>
    <t>背包隐藏</t>
  </si>
  <si>
    <t>背包使用</t>
  </si>
  <si>
    <t>排序</t>
  </si>
  <si>
    <t>关卡背景</t>
  </si>
  <si>
    <t>language_物品名称</t>
    <phoneticPr fontId="2" type="noConversion"/>
  </si>
  <si>
    <t>物品图标</t>
    <phoneticPr fontId="2" type="noConversion"/>
  </si>
  <si>
    <t>211194084900315</t>
    <phoneticPr fontId="2" type="noConversion"/>
  </si>
  <si>
    <t>2s</t>
    <phoneticPr fontId="2" type="noConversion"/>
  </si>
  <si>
    <t>~1</t>
    <phoneticPr fontId="2" type="noConversion"/>
  </si>
  <si>
    <t>( 0 , 2.0)</t>
    <phoneticPr fontId="2" type="noConversion"/>
  </si>
  <si>
    <t>[ 1.1 , 99)</t>
    <phoneticPr fontId="2" type="noConversion"/>
  </si>
  <si>
    <t>2025.3.28</t>
    <phoneticPr fontId="2" type="noConversion"/>
  </si>
  <si>
    <t>新增报错日志，可直接将报错日志输出，快速定位问题</t>
    <phoneticPr fontId="2" type="noConversion"/>
  </si>
  <si>
    <t>主要问题种类：</t>
    <phoneticPr fontId="2" type="noConversion"/>
  </si>
  <si>
    <t>版本号格式异常</t>
    <phoneticPr fontId="2" type="noConversion"/>
  </si>
  <si>
    <t>表名异常，在表名对照中写错</t>
    <phoneticPr fontId="2" type="noConversion"/>
  </si>
  <si>
    <t>数据配置错误，空、#N/A、#REF! 等</t>
    <phoneticPr fontId="2" type="noConversion"/>
  </si>
  <si>
    <t>注：避免表格中批量行列出现大量错误，单表在导出错误日志时，最多导出5条信息</t>
    <phoneticPr fontId="2" type="noConversion"/>
  </si>
  <si>
    <t>问题处理：</t>
    <phoneticPr fontId="2" type="noConversion"/>
  </si>
  <si>
    <t>建议将所有错误处理完后再上传，目前没有强行设定无报错才可上传</t>
    <phoneticPr fontId="2" type="noConversion"/>
  </si>
  <si>
    <t>重置功能也会将列表中的问题全部清除</t>
    <phoneticPr fontId="2" type="noConversion"/>
  </si>
  <si>
    <t>附加信息中的行列为实际数据区域的行列，非表格直接行列</t>
    <phoneticPr fontId="2" type="noConversion"/>
  </si>
  <si>
    <t>充值</t>
  </si>
  <si>
    <t>邮件</t>
  </si>
  <si>
    <t>商店</t>
  </si>
  <si>
    <t>技能</t>
  </si>
  <si>
    <t>1~1.1</t>
    <phoneticPr fontId="2" type="noConversion"/>
  </si>
  <si>
    <t>1~1.1</t>
  </si>
  <si>
    <t>等级消耗表</t>
    <phoneticPr fontId="2" type="noConversion"/>
  </si>
  <si>
    <t>#配置开关#</t>
    <phoneticPr fontId="2" type="noConversion"/>
  </si>
  <si>
    <t>自动弹出路径</t>
    <phoneticPr fontId="2" type="noConversion"/>
  </si>
  <si>
    <t>参数</t>
    <phoneticPr fontId="2" type="noConversion"/>
  </si>
  <si>
    <t>--story--user=通用数据表配置需求---</t>
    <phoneticPr fontId="2" type="noConversion"/>
  </si>
  <si>
    <t>/Users/jarvis/claude code/gamedata-studio/docs/test/{0}</t>
    <phoneticPr fontId="2" type="noConversion"/>
  </si>
  <si>
    <t>导出完成</t>
  </si>
  <si>
    <t>1.01.1157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</si>
</sst>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5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name val="等线"/>
      <family val="3"/>
      <charset val="134"/>
      <scheme val="minor"/>
    </font>
    <font>
      <sz val="10"/>
      <color indexed="8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0"/>
      <name val="等线"/>
      <family val="3"/>
      <charset val="134"/>
    </font>
    <font>
      <sz val="10"/>
      <color theme="0"/>
      <name val="等线"/>
      <family val="3"/>
      <charset val="134"/>
      <scheme val="minor"/>
    </font>
    <font>
      <sz val="10"/>
      <color theme="0" tint="-0.34998626667073579"/>
      <name val="等线"/>
      <family val="2"/>
      <scheme val="minor"/>
    </font>
    <font>
      <sz val="10"/>
      <color theme="0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18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0"/>
      <color rgb="FF9C0006"/>
      <name val="等线"/>
      <family val="3"/>
      <charset val="134"/>
      <scheme val="minor"/>
    </font>
    <font>
      <sz val="10"/>
      <color rgb="FFFF0000"/>
      <name val="等线"/>
      <family val="3"/>
      <charset val="134"/>
      <scheme val="minor"/>
    </font>
    <font>
      <sz val="10"/>
      <name val="等线"/>
      <family val="2"/>
      <scheme val="minor"/>
    </font>
    <font>
      <sz val="11"/>
      <name val="等线"/>
      <family val="2"/>
      <scheme val="minor"/>
    </font>
    <font>
      <sz val="11"/>
      <color rgb="FF000000"/>
      <name val="等线"/>
      <family val="4"/>
      <charset val="134"/>
    </font>
    <font>
      <sz val="10"/>
      <color rgb="FFFF0000"/>
      <name val="等线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9E1F2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72">
    <xf numFmtId="0" fontId="0" fillId="0" borderId="0" xfId="0"/>
    <xf numFmtId="0" fontId="4" fillId="0" borderId="0" xfId="0" applyFont="1"/>
    <xf numFmtId="0" fontId="3" fillId="0" borderId="0" xfId="0" applyFont="1"/>
    <xf numFmtId="0" fontId="8" fillId="0" borderId="0" xfId="0" applyFont="1"/>
    <xf numFmtId="0" fontId="9" fillId="4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5" borderId="0" xfId="0" applyFill="1"/>
    <xf numFmtId="0" fontId="0" fillId="5" borderId="1" xfId="0" applyFill="1" applyBorder="1"/>
    <xf numFmtId="0" fontId="11" fillId="0" borderId="0" xfId="0" applyFont="1"/>
    <xf numFmtId="0" fontId="12" fillId="0" borderId="0" xfId="0" applyFont="1"/>
    <xf numFmtId="14" fontId="8" fillId="2" borderId="1" xfId="0" applyNumberFormat="1" applyFont="1" applyFill="1" applyBorder="1"/>
    <xf numFmtId="0" fontId="8" fillId="0" borderId="1" xfId="0" applyFont="1" applyBorder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8" fillId="7" borderId="1" xfId="0" applyFont="1" applyFill="1" applyBorder="1"/>
    <xf numFmtId="0" fontId="8" fillId="6" borderId="1" xfId="0" applyFont="1" applyFill="1" applyBorder="1"/>
    <xf numFmtId="0" fontId="4" fillId="8" borderId="1" xfId="0" applyFont="1" applyFill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4" fillId="0" borderId="3" xfId="0" applyFont="1" applyBorder="1"/>
    <xf numFmtId="0" fontId="4" fillId="0" borderId="4" xfId="0" applyFont="1" applyBorder="1"/>
    <xf numFmtId="0" fontId="3" fillId="2" borderId="1" xfId="0" applyFont="1" applyFill="1" applyBorder="1"/>
    <xf numFmtId="0" fontId="3" fillId="2" borderId="5" xfId="0" applyFont="1" applyFill="1" applyBorder="1"/>
    <xf numFmtId="0" fontId="3" fillId="5" borderId="1" xfId="0" applyFont="1" applyFill="1" applyBorder="1" applyAlignment="1">
      <alignment horizontal="left"/>
    </xf>
    <xf numFmtId="0" fontId="3" fillId="5" borderId="1" xfId="0" applyFont="1" applyFill="1" applyBorder="1"/>
    <xf numFmtId="0" fontId="3" fillId="0" borderId="1" xfId="0" applyFont="1" applyBorder="1"/>
    <xf numFmtId="0" fontId="3" fillId="0" borderId="6" xfId="0" applyFont="1" applyBorder="1"/>
    <xf numFmtId="0" fontId="3" fillId="0" borderId="1" xfId="0" quotePrefix="1" applyFont="1" applyBorder="1"/>
    <xf numFmtId="0" fontId="3" fillId="0" borderId="7" xfId="0" applyFont="1" applyBorder="1"/>
    <xf numFmtId="0" fontId="3" fillId="7" borderId="1" xfId="0" applyFont="1" applyFill="1" applyBorder="1" applyAlignment="1">
      <alignment horizontal="center" vertical="center"/>
    </xf>
    <xf numFmtId="176" fontId="3" fillId="0" borderId="1" xfId="0" applyNumberFormat="1" applyFont="1" applyBorder="1"/>
    <xf numFmtId="0" fontId="4" fillId="0" borderId="1" xfId="0" applyFont="1" applyBorder="1"/>
    <xf numFmtId="176" fontId="4" fillId="0" borderId="1" xfId="0" applyNumberFormat="1" applyFont="1" applyBorder="1"/>
    <xf numFmtId="0" fontId="5" fillId="0" borderId="1" xfId="0" applyFont="1" applyBorder="1"/>
    <xf numFmtId="0" fontId="10" fillId="7" borderId="0" xfId="0" applyFont="1" applyFill="1"/>
    <xf numFmtId="0" fontId="10" fillId="2" borderId="0" xfId="0" applyFont="1" applyFill="1"/>
    <xf numFmtId="0" fontId="10" fillId="6" borderId="0" xfId="0" applyFont="1" applyFill="1"/>
    <xf numFmtId="0" fontId="10" fillId="9" borderId="0" xfId="0" applyFont="1" applyFill="1"/>
    <xf numFmtId="49" fontId="3" fillId="0" borderId="1" xfId="0" applyNumberFormat="1" applyFont="1" applyBorder="1"/>
    <xf numFmtId="49" fontId="3" fillId="0" borderId="6" xfId="0" applyNumberFormat="1" applyFont="1" applyBorder="1"/>
    <xf numFmtId="0" fontId="17" fillId="5" borderId="0" xfId="0" applyFont="1" applyFill="1"/>
    <xf numFmtId="0" fontId="0" fillId="5" borderId="1" xfId="0" applyFill="1" applyBorder="1" applyAlignment="1">
      <alignment horizontal="left"/>
    </xf>
    <xf numFmtId="0" fontId="18" fillId="5" borderId="0" xfId="0" applyFont="1" applyFill="1"/>
    <xf numFmtId="0" fontId="10" fillId="5" borderId="0" xfId="0" applyFont="1" applyFill="1"/>
    <xf numFmtId="0" fontId="0" fillId="3" borderId="0" xfId="0" applyFill="1"/>
    <xf numFmtId="0" fontId="4" fillId="10" borderId="0" xfId="0" applyFont="1" applyFill="1" applyAlignment="1">
      <alignment horizontal="center"/>
    </xf>
    <xf numFmtId="0" fontId="4" fillId="11" borderId="0" xfId="0" applyFont="1" applyFill="1"/>
    <xf numFmtId="0" fontId="19" fillId="12" borderId="0" xfId="0" applyFont="1" applyFill="1"/>
    <xf numFmtId="0" fontId="19" fillId="13" borderId="0" xfId="0" applyFont="1" applyFill="1"/>
    <xf numFmtId="0" fontId="4" fillId="0" borderId="0" xfId="0" applyFont="1" applyAlignment="1">
      <alignment horizontal="left"/>
    </xf>
    <xf numFmtId="0" fontId="20" fillId="10" borderId="0" xfId="0" applyFont="1" applyFill="1" applyAlignment="1">
      <alignment horizontal="center"/>
    </xf>
    <xf numFmtId="0" fontId="20" fillId="11" borderId="0" xfId="0" applyFont="1" applyFill="1"/>
    <xf numFmtId="0" fontId="20" fillId="0" borderId="0" xfId="0" applyFont="1"/>
    <xf numFmtId="0" fontId="20" fillId="0" borderId="0" xfId="0" applyFont="1" applyAlignment="1">
      <alignment horizontal="left"/>
    </xf>
    <xf numFmtId="0" fontId="4" fillId="14" borderId="0" xfId="0" applyFont="1" applyFill="1"/>
    <xf numFmtId="49" fontId="3" fillId="0" borderId="1" xfId="0" quotePrefix="1" applyNumberFormat="1" applyFont="1" applyBorder="1"/>
    <xf numFmtId="0" fontId="8" fillId="0" borderId="1" xfId="0" quotePrefix="1" applyFont="1" applyBorder="1"/>
    <xf numFmtId="0" fontId="4" fillId="0" borderId="2" xfId="0" applyFont="1" applyBorder="1"/>
    <xf numFmtId="0" fontId="21" fillId="0" borderId="2" xfId="0" applyFont="1" applyBorder="1"/>
    <xf numFmtId="0" fontId="22" fillId="0" borderId="0" xfId="0" applyFont="1"/>
    <xf numFmtId="0" fontId="16" fillId="3" borderId="0" xfId="0" applyFont="1" applyFill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4" fillId="0" borderId="0" xfId="0" applyFont="1"/>
    <xf numFmtId="0" fontId="24" fillId="0" borderId="2" xfId="0" applyFont="1" applyBorder="1"/>
    <xf numFmtId="0" fontId="20" fillId="0" borderId="2" xfId="0" applyFont="1" applyBorder="1"/>
  </cellXfs>
  <cellStyles count="3">
    <cellStyle name="常规" xfId="0" builtinId="0"/>
    <cellStyle name="常规 2" xfId="1" xr:uid="{039C472F-0F36-453F-B134-28FE9F7C9143}"/>
    <cellStyle name="常规 4" xfId="2" xr:uid="{33092723-199C-4FCE-B16D-20B2D7D5DE86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13</xdr:row>
          <xdr:rowOff>127000</xdr:rowOff>
        </xdr:from>
        <xdr:to>
          <xdr:col>4</xdr:col>
          <xdr:colOff>457200</xdr:colOff>
          <xdr:row>15</xdr:row>
          <xdr:rowOff>101600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29</xdr:row>
      <xdr:rowOff>106952</xdr:rowOff>
    </xdr:from>
    <xdr:to>
      <xdr:col>10</xdr:col>
      <xdr:colOff>123826</xdr:colOff>
      <xdr:row>39</xdr:row>
      <xdr:rowOff>94824</xdr:rowOff>
    </xdr:to>
    <xdr:pic>
      <xdr:nvPicPr>
        <xdr:cNvPr id="2" name="图片 1" descr="图形用户界面, 应用程序&#10;&#10;描述已自动生成">
          <a:extLst>
            <a:ext uri="{FF2B5EF4-FFF2-40B4-BE49-F238E27FC236}">
              <a16:creationId xmlns:a16="http://schemas.microsoft.com/office/drawing/2014/main" id="{E93409A9-A968-DC2C-39CA-3CD403350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6" y="5355227"/>
          <a:ext cx="6191250" cy="1797622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50</xdr:row>
      <xdr:rowOff>161925</xdr:rowOff>
    </xdr:from>
    <xdr:to>
      <xdr:col>8</xdr:col>
      <xdr:colOff>66081</xdr:colOff>
      <xdr:row>52</xdr:row>
      <xdr:rowOff>114261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D214699B-BF02-EAD1-61A3-1171609D1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" y="9210675"/>
          <a:ext cx="4752381" cy="3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342901</xdr:colOff>
      <xdr:row>55</xdr:row>
      <xdr:rowOff>55213</xdr:rowOff>
    </xdr:from>
    <xdr:to>
      <xdr:col>4</xdr:col>
      <xdr:colOff>533400</xdr:colOff>
      <xdr:row>73</xdr:row>
      <xdr:rowOff>37282</xdr:rowOff>
    </xdr:to>
    <xdr:pic>
      <xdr:nvPicPr>
        <xdr:cNvPr id="4" name="图片 3" descr="图形用户界面, 文本&#10;&#10;描述已自动生成">
          <a:extLst>
            <a:ext uri="{FF2B5EF4-FFF2-40B4-BE49-F238E27FC236}">
              <a16:creationId xmlns:a16="http://schemas.microsoft.com/office/drawing/2014/main" id="{5B80E24B-E1EC-3920-A851-6B24806CC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1" y="10008838"/>
          <a:ext cx="2247899" cy="3239619"/>
        </a:xfrm>
        <a:prstGeom prst="rect">
          <a:avLst/>
        </a:prstGeom>
      </xdr:spPr>
    </xdr:pic>
    <xdr:clientData/>
  </xdr:twoCellAnchor>
  <xdr:twoCellAnchor editAs="oneCell">
    <xdr:from>
      <xdr:col>5</xdr:col>
      <xdr:colOff>314326</xdr:colOff>
      <xdr:row>55</xdr:row>
      <xdr:rowOff>66675</xdr:rowOff>
    </xdr:from>
    <xdr:to>
      <xdr:col>8</xdr:col>
      <xdr:colOff>519566</xdr:colOff>
      <xdr:row>73</xdr:row>
      <xdr:rowOff>38100</xdr:rowOff>
    </xdr:to>
    <xdr:pic>
      <xdr:nvPicPr>
        <xdr:cNvPr id="5" name="图片 4" descr="图形用户界面, 文本, 应用程序, 电子邮件&#10;&#10;描述已自动生成">
          <a:extLst>
            <a:ext uri="{FF2B5EF4-FFF2-40B4-BE49-F238E27FC236}">
              <a16:creationId xmlns:a16="http://schemas.microsoft.com/office/drawing/2014/main" id="{D049A222-F580-D9F6-4EFF-1637D35F0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43326" y="10020300"/>
          <a:ext cx="2262640" cy="3228975"/>
        </a:xfrm>
        <a:prstGeom prst="rect">
          <a:avLst/>
        </a:prstGeom>
      </xdr:spPr>
    </xdr:pic>
    <xdr:clientData/>
  </xdr:twoCellAnchor>
  <xdr:twoCellAnchor editAs="oneCell">
    <xdr:from>
      <xdr:col>9</xdr:col>
      <xdr:colOff>276225</xdr:colOff>
      <xdr:row>55</xdr:row>
      <xdr:rowOff>66674</xdr:rowOff>
    </xdr:from>
    <xdr:to>
      <xdr:col>12</xdr:col>
      <xdr:colOff>447675</xdr:colOff>
      <xdr:row>73</xdr:row>
      <xdr:rowOff>20737</xdr:rowOff>
    </xdr:to>
    <xdr:pic>
      <xdr:nvPicPr>
        <xdr:cNvPr id="6" name="图片 5" descr="图形用户界面, 应用程序&#10;&#10;描述已自动生成">
          <a:extLst>
            <a:ext uri="{FF2B5EF4-FFF2-40B4-BE49-F238E27FC236}">
              <a16:creationId xmlns:a16="http://schemas.microsoft.com/office/drawing/2014/main" id="{07EB5529-8233-B0D5-4CBE-EE9E11FD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48425" y="10020299"/>
          <a:ext cx="2228850" cy="321161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83</xdr:row>
      <xdr:rowOff>95250</xdr:rowOff>
    </xdr:from>
    <xdr:to>
      <xdr:col>8</xdr:col>
      <xdr:colOff>628650</xdr:colOff>
      <xdr:row>90</xdr:row>
      <xdr:rowOff>154929</xdr:rowOff>
    </xdr:to>
    <xdr:pic>
      <xdr:nvPicPr>
        <xdr:cNvPr id="8" name="图片 7" descr="表格&#10;&#10;描述已自动生成">
          <a:extLst>
            <a:ext uri="{FF2B5EF4-FFF2-40B4-BE49-F238E27FC236}">
              <a16:creationId xmlns:a16="http://schemas.microsoft.com/office/drawing/2014/main" id="{DBCD7D32-E7C8-2397-1329-97F0B3581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9225" y="15116175"/>
          <a:ext cx="4695825" cy="1326504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103</xdr:row>
      <xdr:rowOff>62832</xdr:rowOff>
    </xdr:from>
    <xdr:to>
      <xdr:col>9</xdr:col>
      <xdr:colOff>209551</xdr:colOff>
      <xdr:row>114</xdr:row>
      <xdr:rowOff>75881</xdr:rowOff>
    </xdr:to>
    <xdr:pic>
      <xdr:nvPicPr>
        <xdr:cNvPr id="9" name="图片 8" descr="表格&#10;&#10;描述已自动生成">
          <a:extLst>
            <a:ext uri="{FF2B5EF4-FFF2-40B4-BE49-F238E27FC236}">
              <a16:creationId xmlns:a16="http://schemas.microsoft.com/office/drawing/2014/main" id="{BCAA4FD8-4F96-5A79-DC09-D5E824762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9701" y="18703257"/>
          <a:ext cx="4972050" cy="2003774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121</xdr:row>
      <xdr:rowOff>149499</xdr:rowOff>
    </xdr:from>
    <xdr:to>
      <xdr:col>8</xdr:col>
      <xdr:colOff>236618</xdr:colOff>
      <xdr:row>138</xdr:row>
      <xdr:rowOff>9525</xdr:rowOff>
    </xdr:to>
    <xdr:pic>
      <xdr:nvPicPr>
        <xdr:cNvPr id="10" name="图片 9" descr="表格&#10;&#10;描述已自动生成">
          <a:extLst>
            <a:ext uri="{FF2B5EF4-FFF2-40B4-BE49-F238E27FC236}">
              <a16:creationId xmlns:a16="http://schemas.microsoft.com/office/drawing/2014/main" id="{715F7E14-2994-A218-4F47-969FFF91A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09700" y="22047474"/>
          <a:ext cx="4313318" cy="2936601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121</xdr:row>
      <xdr:rowOff>114300</xdr:rowOff>
    </xdr:from>
    <xdr:to>
      <xdr:col>9</xdr:col>
      <xdr:colOff>609600</xdr:colOff>
      <xdr:row>126</xdr:row>
      <xdr:rowOff>28575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68015F73-FB9A-8187-2F2A-3707774FF0B0}"/>
            </a:ext>
          </a:extLst>
        </xdr:cNvPr>
        <xdr:cNvCxnSpPr/>
      </xdr:nvCxnSpPr>
      <xdr:spPr>
        <a:xfrm flipV="1">
          <a:off x="4914900" y="22012275"/>
          <a:ext cx="1866900" cy="819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128</xdr:row>
      <xdr:rowOff>142875</xdr:rowOff>
    </xdr:from>
    <xdr:to>
      <xdr:col>10</xdr:col>
      <xdr:colOff>523875</xdr:colOff>
      <xdr:row>130</xdr:row>
      <xdr:rowOff>133350</xdr:rowOff>
    </xdr:to>
    <xdr:cxnSp macro="">
      <xdr:nvCxnSpPr>
        <xdr:cNvPr id="15" name="直接箭头连接符 14">
          <a:extLst>
            <a:ext uri="{FF2B5EF4-FFF2-40B4-BE49-F238E27FC236}">
              <a16:creationId xmlns:a16="http://schemas.microsoft.com/office/drawing/2014/main" id="{DC83E6E1-0FB4-AD13-C649-1EBC124D8246}"/>
            </a:ext>
          </a:extLst>
        </xdr:cNvPr>
        <xdr:cNvCxnSpPr/>
      </xdr:nvCxnSpPr>
      <xdr:spPr>
        <a:xfrm flipV="1">
          <a:off x="2543175" y="23307675"/>
          <a:ext cx="4838700" cy="3524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123</xdr:row>
      <xdr:rowOff>114300</xdr:rowOff>
    </xdr:from>
    <xdr:to>
      <xdr:col>9</xdr:col>
      <xdr:colOff>657225</xdr:colOff>
      <xdr:row>132</xdr:row>
      <xdr:rowOff>133350</xdr:rowOff>
    </xdr:to>
    <xdr:cxnSp macro="">
      <xdr:nvCxnSpPr>
        <xdr:cNvPr id="18" name="直接箭头连接符 17">
          <a:extLst>
            <a:ext uri="{FF2B5EF4-FFF2-40B4-BE49-F238E27FC236}">
              <a16:creationId xmlns:a16="http://schemas.microsoft.com/office/drawing/2014/main" id="{AB0F7253-2B41-73C1-29B2-77497CCBA7B3}"/>
            </a:ext>
          </a:extLst>
        </xdr:cNvPr>
        <xdr:cNvCxnSpPr/>
      </xdr:nvCxnSpPr>
      <xdr:spPr>
        <a:xfrm>
          <a:off x="2628900" y="22374225"/>
          <a:ext cx="4200525" cy="1647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647700</xdr:colOff>
      <xdr:row>133</xdr:row>
      <xdr:rowOff>9525</xdr:rowOff>
    </xdr:from>
    <xdr:to>
      <xdr:col>9</xdr:col>
      <xdr:colOff>676275</xdr:colOff>
      <xdr:row>136</xdr:row>
      <xdr:rowOff>95250</xdr:rowOff>
    </xdr:to>
    <xdr:cxnSp macro="">
      <xdr:nvCxnSpPr>
        <xdr:cNvPr id="20" name="直接箭头连接符 19">
          <a:extLst>
            <a:ext uri="{FF2B5EF4-FFF2-40B4-BE49-F238E27FC236}">
              <a16:creationId xmlns:a16="http://schemas.microsoft.com/office/drawing/2014/main" id="{ADDF378D-0D79-BA0F-4D97-F06FB711A439}"/>
            </a:ext>
          </a:extLst>
        </xdr:cNvPr>
        <xdr:cNvCxnSpPr/>
      </xdr:nvCxnSpPr>
      <xdr:spPr>
        <a:xfrm>
          <a:off x="2705100" y="24079200"/>
          <a:ext cx="4143375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180975</xdr:colOff>
      <xdr:row>134</xdr:row>
      <xdr:rowOff>171450</xdr:rowOff>
    </xdr:from>
    <xdr:to>
      <xdr:col>9</xdr:col>
      <xdr:colOff>638175</xdr:colOff>
      <xdr:row>137</xdr:row>
      <xdr:rowOff>114300</xdr:rowOff>
    </xdr:to>
    <xdr:cxnSp macro="">
      <xdr:nvCxnSpPr>
        <xdr:cNvPr id="22" name="直接箭头连接符 21">
          <a:extLst>
            <a:ext uri="{FF2B5EF4-FFF2-40B4-BE49-F238E27FC236}">
              <a16:creationId xmlns:a16="http://schemas.microsoft.com/office/drawing/2014/main" id="{92540E55-9003-C9AD-0C2F-BE91E3DF1EFD}"/>
            </a:ext>
          </a:extLst>
        </xdr:cNvPr>
        <xdr:cNvCxnSpPr/>
      </xdr:nvCxnSpPr>
      <xdr:spPr>
        <a:xfrm>
          <a:off x="2238375" y="24422100"/>
          <a:ext cx="4572000" cy="485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126</xdr:row>
      <xdr:rowOff>142875</xdr:rowOff>
    </xdr:from>
    <xdr:to>
      <xdr:col>10</xdr:col>
      <xdr:colOff>9525</xdr:colOff>
      <xdr:row>139</xdr:row>
      <xdr:rowOff>66675</xdr:rowOff>
    </xdr:to>
    <xdr:cxnSp macro="">
      <xdr:nvCxnSpPr>
        <xdr:cNvPr id="24" name="直接箭头连接符 23">
          <a:extLst>
            <a:ext uri="{FF2B5EF4-FFF2-40B4-BE49-F238E27FC236}">
              <a16:creationId xmlns:a16="http://schemas.microsoft.com/office/drawing/2014/main" id="{65BBA5B9-6C7E-0729-17E2-FDBC5C244E6C}"/>
            </a:ext>
          </a:extLst>
        </xdr:cNvPr>
        <xdr:cNvCxnSpPr/>
      </xdr:nvCxnSpPr>
      <xdr:spPr>
        <a:xfrm>
          <a:off x="2781300" y="22945725"/>
          <a:ext cx="4086225" cy="2276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95250</xdr:colOff>
      <xdr:row>146</xdr:row>
      <xdr:rowOff>84021</xdr:rowOff>
    </xdr:from>
    <xdr:to>
      <xdr:col>8</xdr:col>
      <xdr:colOff>447675</xdr:colOff>
      <xdr:row>158</xdr:row>
      <xdr:rowOff>47329</xdr:rowOff>
    </xdr:to>
    <xdr:pic>
      <xdr:nvPicPr>
        <xdr:cNvPr id="25" name="图片 24" descr="表格&#10;&#10;描述已自动生成">
          <a:extLst>
            <a:ext uri="{FF2B5EF4-FFF2-40B4-BE49-F238E27FC236}">
              <a16:creationId xmlns:a16="http://schemas.microsoft.com/office/drawing/2014/main" id="{F994ACFC-58DD-BDA0-D6DF-8B4F4F94A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66850" y="26506371"/>
          <a:ext cx="4467225" cy="2135008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148</xdr:row>
      <xdr:rowOff>28575</xdr:rowOff>
    </xdr:from>
    <xdr:to>
      <xdr:col>9</xdr:col>
      <xdr:colOff>590550</xdr:colOff>
      <xdr:row>148</xdr:row>
      <xdr:rowOff>133350</xdr:rowOff>
    </xdr:to>
    <xdr:cxnSp macro="">
      <xdr:nvCxnSpPr>
        <xdr:cNvPr id="27" name="直接箭头连接符 26">
          <a:extLst>
            <a:ext uri="{FF2B5EF4-FFF2-40B4-BE49-F238E27FC236}">
              <a16:creationId xmlns:a16="http://schemas.microsoft.com/office/drawing/2014/main" id="{439F7641-25FE-CDC4-F2B6-1AC3B6CA40B1}"/>
            </a:ext>
          </a:extLst>
        </xdr:cNvPr>
        <xdr:cNvCxnSpPr/>
      </xdr:nvCxnSpPr>
      <xdr:spPr>
        <a:xfrm flipV="1">
          <a:off x="1924050" y="26812875"/>
          <a:ext cx="4838700" cy="104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119</xdr:row>
      <xdr:rowOff>171450</xdr:rowOff>
    </xdr:from>
    <xdr:to>
      <xdr:col>9</xdr:col>
      <xdr:colOff>666750</xdr:colOff>
      <xdr:row>125</xdr:row>
      <xdr:rowOff>114300</xdr:rowOff>
    </xdr:to>
    <xdr:cxnSp macro="">
      <xdr:nvCxnSpPr>
        <xdr:cNvPr id="31" name="直接箭头连接符 30">
          <a:extLst>
            <a:ext uri="{FF2B5EF4-FFF2-40B4-BE49-F238E27FC236}">
              <a16:creationId xmlns:a16="http://schemas.microsoft.com/office/drawing/2014/main" id="{8669348E-61BB-55D5-4653-79713A4EE724}"/>
            </a:ext>
          </a:extLst>
        </xdr:cNvPr>
        <xdr:cNvCxnSpPr/>
      </xdr:nvCxnSpPr>
      <xdr:spPr>
        <a:xfrm flipV="1">
          <a:off x="2752725" y="21707475"/>
          <a:ext cx="4086225" cy="1028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381000</xdr:colOff>
      <xdr:row>151</xdr:row>
      <xdr:rowOff>133350</xdr:rowOff>
    </xdr:from>
    <xdr:to>
      <xdr:col>10</xdr:col>
      <xdr:colOff>0</xdr:colOff>
      <xdr:row>152</xdr:row>
      <xdr:rowOff>142875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BD30FA67-1CFA-7E84-C4F3-1D2E9074D256}"/>
            </a:ext>
          </a:extLst>
        </xdr:cNvPr>
        <xdr:cNvCxnSpPr/>
      </xdr:nvCxnSpPr>
      <xdr:spPr>
        <a:xfrm>
          <a:off x="3124200" y="27460575"/>
          <a:ext cx="37338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428625</xdr:colOff>
      <xdr:row>153</xdr:row>
      <xdr:rowOff>95250</xdr:rowOff>
    </xdr:from>
    <xdr:to>
      <xdr:col>10</xdr:col>
      <xdr:colOff>66675</xdr:colOff>
      <xdr:row>154</xdr:row>
      <xdr:rowOff>123825</xdr:rowOff>
    </xdr:to>
    <xdr:cxnSp macro="">
      <xdr:nvCxnSpPr>
        <xdr:cNvPr id="35" name="直接箭头连接符 34">
          <a:extLst>
            <a:ext uri="{FF2B5EF4-FFF2-40B4-BE49-F238E27FC236}">
              <a16:creationId xmlns:a16="http://schemas.microsoft.com/office/drawing/2014/main" id="{4677B2BF-A6FB-DD28-1BD0-984D001815E9}"/>
            </a:ext>
          </a:extLst>
        </xdr:cNvPr>
        <xdr:cNvCxnSpPr/>
      </xdr:nvCxnSpPr>
      <xdr:spPr>
        <a:xfrm>
          <a:off x="3857625" y="27784425"/>
          <a:ext cx="3067050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581025</xdr:colOff>
      <xdr:row>155</xdr:row>
      <xdr:rowOff>114300</xdr:rowOff>
    </xdr:from>
    <xdr:to>
      <xdr:col>10</xdr:col>
      <xdr:colOff>9525</xdr:colOff>
      <xdr:row>156</xdr:row>
      <xdr:rowOff>66675</xdr:rowOff>
    </xdr:to>
    <xdr:cxnSp macro="">
      <xdr:nvCxnSpPr>
        <xdr:cNvPr id="37" name="直接箭头连接符 36">
          <a:extLst>
            <a:ext uri="{FF2B5EF4-FFF2-40B4-BE49-F238E27FC236}">
              <a16:creationId xmlns:a16="http://schemas.microsoft.com/office/drawing/2014/main" id="{B2510828-20FB-0A55-4A78-EEA7977CFF13}"/>
            </a:ext>
          </a:extLst>
        </xdr:cNvPr>
        <xdr:cNvCxnSpPr/>
      </xdr:nvCxnSpPr>
      <xdr:spPr>
        <a:xfrm>
          <a:off x="4695825" y="28165425"/>
          <a:ext cx="217170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28575</xdr:colOff>
      <xdr:row>186</xdr:row>
      <xdr:rowOff>0</xdr:rowOff>
    </xdr:from>
    <xdr:to>
      <xdr:col>26</xdr:col>
      <xdr:colOff>207470</xdr:colOff>
      <xdr:row>216</xdr:row>
      <xdr:rowOff>180274</xdr:rowOff>
    </xdr:to>
    <xdr:pic>
      <xdr:nvPicPr>
        <xdr:cNvPr id="41" name="图片 40" descr="图形用户界面, 应用程序, 表格, Excel&#10;&#10;描述已自动生成">
          <a:extLst>
            <a:ext uri="{FF2B5EF4-FFF2-40B4-BE49-F238E27FC236}">
              <a16:creationId xmlns:a16="http://schemas.microsoft.com/office/drawing/2014/main" id="{CC522DA7-8A09-F2BD-F77C-1EE00CE17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0175" y="31308675"/>
          <a:ext cx="16638095" cy="56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657225</xdr:colOff>
      <xdr:row>232</xdr:row>
      <xdr:rowOff>108113</xdr:rowOff>
    </xdr:from>
    <xdr:to>
      <xdr:col>22</xdr:col>
      <xdr:colOff>55132</xdr:colOff>
      <xdr:row>239</xdr:row>
      <xdr:rowOff>95067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EB8FEF25-C96B-8723-72B2-18634B4C4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43025" y="42094313"/>
          <a:ext cx="13799707" cy="1253779"/>
        </a:xfrm>
        <a:prstGeom prst="rect">
          <a:avLst/>
        </a:prstGeom>
      </xdr:spPr>
    </xdr:pic>
    <xdr:clientData/>
  </xdr:twoCellAnchor>
  <xdr:twoCellAnchor>
    <xdr:from>
      <xdr:col>3</xdr:col>
      <xdr:colOff>66675</xdr:colOff>
      <xdr:row>229</xdr:row>
      <xdr:rowOff>0</xdr:rowOff>
    </xdr:from>
    <xdr:to>
      <xdr:col>3</xdr:col>
      <xdr:colOff>561975</xdr:colOff>
      <xdr:row>229</xdr:row>
      <xdr:rowOff>171450</xdr:rowOff>
    </xdr:to>
    <xdr:sp macro="" textlink="">
      <xdr:nvSpPr>
        <xdr:cNvPr id="43" name="箭头: 右 42">
          <a:extLst>
            <a:ext uri="{FF2B5EF4-FFF2-40B4-BE49-F238E27FC236}">
              <a16:creationId xmlns:a16="http://schemas.microsoft.com/office/drawing/2014/main" id="{84EAAF6D-9D55-5934-DA2F-AC65718F8CF5}"/>
            </a:ext>
          </a:extLst>
        </xdr:cNvPr>
        <xdr:cNvSpPr/>
      </xdr:nvSpPr>
      <xdr:spPr>
        <a:xfrm>
          <a:off x="2124075" y="41262300"/>
          <a:ext cx="495300" cy="1714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  <xdr:twoCellAnchor editAs="oneCell">
    <xdr:from>
      <xdr:col>2</xdr:col>
      <xdr:colOff>9525</xdr:colOff>
      <xdr:row>247</xdr:row>
      <xdr:rowOff>83018</xdr:rowOff>
    </xdr:from>
    <xdr:to>
      <xdr:col>21</xdr:col>
      <xdr:colOff>636139</xdr:colOff>
      <xdr:row>274</xdr:row>
      <xdr:rowOff>180232</xdr:rowOff>
    </xdr:to>
    <xdr:pic>
      <xdr:nvPicPr>
        <xdr:cNvPr id="45" name="图片 44" descr="日历&#10;&#10;中度可信度描述已自动生成">
          <a:extLst>
            <a:ext uri="{FF2B5EF4-FFF2-40B4-BE49-F238E27FC236}">
              <a16:creationId xmlns:a16="http://schemas.microsoft.com/office/drawing/2014/main" id="{4E6D9DCA-61F5-9FC6-86C3-793B1D02D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81125" y="44783843"/>
          <a:ext cx="13656814" cy="4983539"/>
        </a:xfrm>
        <a:prstGeom prst="rect">
          <a:avLst/>
        </a:prstGeom>
      </xdr:spPr>
    </xdr:pic>
    <xdr:clientData/>
  </xdr:twoCellAnchor>
  <xdr:twoCellAnchor editAs="oneCell">
    <xdr:from>
      <xdr:col>1</xdr:col>
      <xdr:colOff>676275</xdr:colOff>
      <xdr:row>280</xdr:row>
      <xdr:rowOff>3169</xdr:rowOff>
    </xdr:from>
    <xdr:to>
      <xdr:col>23</xdr:col>
      <xdr:colOff>493076</xdr:colOff>
      <xdr:row>306</xdr:row>
      <xdr:rowOff>18345</xdr:rowOff>
    </xdr:to>
    <xdr:pic>
      <xdr:nvPicPr>
        <xdr:cNvPr id="46" name="图片 45" descr="图片包含 表格&#10;&#10;描述已自动生成">
          <a:extLst>
            <a:ext uri="{FF2B5EF4-FFF2-40B4-BE49-F238E27FC236}">
              <a16:creationId xmlns:a16="http://schemas.microsoft.com/office/drawing/2014/main" id="{BB987C5F-2C8F-E285-A8D3-DF1B946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2075" y="50676169"/>
          <a:ext cx="14904401" cy="4720526"/>
        </a:xfrm>
        <a:prstGeom prst="rect">
          <a:avLst/>
        </a:prstGeom>
      </xdr:spPr>
    </xdr:pic>
    <xdr:clientData/>
  </xdr:twoCellAnchor>
  <xdr:twoCellAnchor>
    <xdr:from>
      <xdr:col>7</xdr:col>
      <xdr:colOff>104775</xdr:colOff>
      <xdr:row>275</xdr:row>
      <xdr:rowOff>123825</xdr:rowOff>
    </xdr:from>
    <xdr:to>
      <xdr:col>7</xdr:col>
      <xdr:colOff>457200</xdr:colOff>
      <xdr:row>279</xdr:row>
      <xdr:rowOff>47625</xdr:rowOff>
    </xdr:to>
    <xdr:sp macro="" textlink="">
      <xdr:nvSpPr>
        <xdr:cNvPr id="47" name="箭头: 下 46">
          <a:extLst>
            <a:ext uri="{FF2B5EF4-FFF2-40B4-BE49-F238E27FC236}">
              <a16:creationId xmlns:a16="http://schemas.microsoft.com/office/drawing/2014/main" id="{C05C4087-9718-0843-5D4F-B7F69689E5D5}"/>
            </a:ext>
          </a:extLst>
        </xdr:cNvPr>
        <xdr:cNvSpPr/>
      </xdr:nvSpPr>
      <xdr:spPr>
        <a:xfrm>
          <a:off x="4905375" y="49891950"/>
          <a:ext cx="352425" cy="64770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  <xdr:twoCellAnchor editAs="oneCell">
    <xdr:from>
      <xdr:col>2</xdr:col>
      <xdr:colOff>352425</xdr:colOff>
      <xdr:row>315</xdr:row>
      <xdr:rowOff>85725</xdr:rowOff>
    </xdr:from>
    <xdr:to>
      <xdr:col>11</xdr:col>
      <xdr:colOff>532606</xdr:colOff>
      <xdr:row>319</xdr:row>
      <xdr:rowOff>114206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60D5948-6F7A-7C65-900A-9240C628B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4025" y="57092850"/>
          <a:ext cx="6352381" cy="7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447675</xdr:colOff>
      <xdr:row>323</xdr:row>
      <xdr:rowOff>19050</xdr:rowOff>
    </xdr:from>
    <xdr:to>
      <xdr:col>12</xdr:col>
      <xdr:colOff>142056</xdr:colOff>
      <xdr:row>324</xdr:row>
      <xdr:rowOff>57123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D83B30AA-1A27-833C-F180-47B7F9F67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58473975"/>
          <a:ext cx="6552381" cy="2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438150</xdr:colOff>
      <xdr:row>329</xdr:row>
      <xdr:rowOff>114300</xdr:rowOff>
    </xdr:from>
    <xdr:to>
      <xdr:col>11</xdr:col>
      <xdr:colOff>418331</xdr:colOff>
      <xdr:row>334</xdr:row>
      <xdr:rowOff>133235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9A0C581A-7A3D-83AE-BC81-B1077D98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09750" y="59655075"/>
          <a:ext cx="6152381" cy="9238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752F6F0-CBAE-7842-AB10-FA9EB800F2B7}">
  <we:reference id="a1b2c3d4-e5f6-7890-abcd-ef1234567890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C155-BEFB-4E07-A999-7D8521A4416D}">
  <sheetPr codeName="Sheet7"/>
  <dimension ref="A1:J57"/>
  <sheetViews>
    <sheetView workbookViewId="0">
      <selection activeCell="M34" sqref="M34"/>
    </sheetView>
  </sheetViews>
  <sheetFormatPr baseColWidth="10" defaultColWidth="8.83203125" defaultRowHeight="15"/>
  <cols>
    <col min="1" max="1" width="6.5" bestFit="1" customWidth="1"/>
    <col min="2" max="2" width="9" customWidth="1"/>
    <col min="4" max="4" width="12" style="65" customWidth="1"/>
    <col min="5" max="5" width="11.6640625" customWidth="1"/>
    <col min="10" max="10" width="10.1640625" customWidth="1"/>
    <col min="11" max="11" width="14" customWidth="1"/>
    <col min="12" max="12" width="9.1640625" bestFit="1" customWidth="1"/>
    <col min="13" max="13" width="14.5" customWidth="1"/>
    <col min="14" max="14" width="10.1640625" customWidth="1"/>
    <col min="15" max="15" width="15.33203125" customWidth="1"/>
    <col min="16" max="16" width="18.6640625" customWidth="1"/>
    <col min="20" max="20" width="11.6640625" bestFit="1" customWidth="1"/>
  </cols>
  <sheetData>
    <row r="1" spans="1:10">
      <c r="D1"/>
    </row>
    <row r="2" spans="1:10">
      <c r="D2"/>
      <c r="E2" t="s">
        <v>572</v>
      </c>
    </row>
    <row r="3" spans="1:10">
      <c r="C3" s="3"/>
      <c r="D3" s="13" t="s">
        <v>0</v>
      </c>
      <c r="E3" s="14" t="s">
        <v>572</v>
      </c>
      <c r="F3" s="3"/>
      <c r="G3" s="3"/>
    </row>
    <row r="4" spans="1:10">
      <c r="C4" s="3"/>
      <c r="D4" s="15" t="s">
        <v>1</v>
      </c>
      <c r="E4" s="62" t="s">
        <v>572</v>
      </c>
      <c r="F4" s="3"/>
      <c r="G4" s="3"/>
    </row>
    <row r="5" spans="1:10">
      <c r="C5" s="3"/>
      <c r="D5" s="3"/>
      <c r="E5" s="3">
        <v>1153</v>
      </c>
      <c r="F5" s="3"/>
      <c r="G5" s="3"/>
    </row>
    <row r="6" spans="1:10">
      <c r="C6" s="3"/>
      <c r="D6" s="3"/>
      <c r="E6" s="17">
        <v>1157</v>
      </c>
      <c r="F6" s="3"/>
      <c r="G6" s="3"/>
      <c r="I6" s="18" t="s">
        <v>3</v>
      </c>
      <c r="J6" s="19" t="str">
        <f>I7&amp;"|"&amp;E10</f>
        <v>空|孙青松</v>
      </c>
    </row>
    <row r="7" spans="1:10" ht="14.25" customHeight="1">
      <c r="C7" s="3"/>
      <c r="D7" s="20" t="s">
        <v>4</v>
      </c>
      <c r="E7" s="20" t="s">
        <v>573</v>
      </c>
      <c r="F7" s="3"/>
      <c r="G7" s="3"/>
      <c r="I7" s="66" t="s">
        <v>2</v>
      </c>
      <c r="J7" s="66"/>
    </row>
    <row r="8" spans="1:10" ht="14.25" customHeight="1">
      <c r="C8" s="3"/>
      <c r="D8" s="21" t="s">
        <v>5</v>
      </c>
      <c r="E8" s="16" t="s">
        <v>6</v>
      </c>
      <c r="F8" s="3"/>
      <c r="G8" s="3"/>
      <c r="I8" s="66"/>
      <c r="J8" s="66"/>
    </row>
    <row r="9" spans="1:10" ht="14.25" customHeight="1">
      <c r="C9" s="3"/>
      <c r="D9" s="21" t="s">
        <v>7</v>
      </c>
      <c r="E9" s="22">
        <v>1.01</v>
      </c>
      <c r="F9" s="3"/>
      <c r="G9" s="3"/>
      <c r="I9" s="66"/>
      <c r="J9" s="66"/>
    </row>
    <row r="10" spans="1:10">
      <c r="A10" s="19">
        <v>6.9429999999999996</v>
      </c>
      <c r="C10" s="3"/>
      <c r="D10" s="21" t="s">
        <v>8</v>
      </c>
      <c r="E10" s="16" t="s">
        <v>9</v>
      </c>
      <c r="F10" s="3"/>
      <c r="G10" s="3"/>
    </row>
    <row r="11" spans="1:10">
      <c r="C11" s="3"/>
      <c r="D11" s="3"/>
      <c r="E11" s="3"/>
      <c r="F11" s="3"/>
      <c r="G11" s="3"/>
    </row>
    <row r="12" spans="1:10">
      <c r="C12" s="3"/>
      <c r="D12" s="3"/>
      <c r="E12" s="3"/>
      <c r="F12" s="3"/>
      <c r="G12" s="3"/>
    </row>
    <row r="13" spans="1:10">
      <c r="C13" s="3"/>
      <c r="D13" s="3"/>
      <c r="E13" s="3"/>
      <c r="F13" s="3"/>
      <c r="G13" s="3"/>
    </row>
    <row r="14" spans="1:10">
      <c r="C14" s="3"/>
      <c r="D14" s="3"/>
      <c r="E14" s="3"/>
      <c r="F14" s="3"/>
      <c r="G14" s="3"/>
    </row>
    <row r="15" spans="1:10">
      <c r="C15" s="3"/>
      <c r="D15" s="3"/>
      <c r="E15" s="3"/>
      <c r="F15" s="3"/>
      <c r="G15" s="3"/>
    </row>
    <row r="16" spans="1:10">
      <c r="C16" s="3"/>
      <c r="D16" s="3"/>
      <c r="E16" s="3"/>
      <c r="F16" s="3"/>
      <c r="G16" s="3"/>
    </row>
    <row r="17" spans="3:7">
      <c r="C17" s="3"/>
      <c r="D17" s="3"/>
      <c r="E17" s="3"/>
      <c r="F17" s="3"/>
      <c r="G17" s="3"/>
    </row>
    <row r="18" spans="3:7">
      <c r="C18" s="3"/>
      <c r="D18" s="16" t="s">
        <v>10</v>
      </c>
      <c r="E18" s="16">
        <v>2</v>
      </c>
      <c r="F18" s="3"/>
      <c r="G18" s="3"/>
    </row>
    <row r="19" spans="3:7">
      <c r="C19" s="3"/>
      <c r="D19" s="16" t="s">
        <v>11</v>
      </c>
      <c r="E19" s="16">
        <v>12</v>
      </c>
      <c r="F19" s="3"/>
      <c r="G19" s="3"/>
    </row>
    <row r="20" spans="3:7">
      <c r="C20" s="3"/>
      <c r="D20" s="69"/>
      <c r="E20" s="3"/>
      <c r="F20" s="3"/>
      <c r="G20" s="3"/>
    </row>
    <row r="21" spans="3:7">
      <c r="C21" s="3"/>
      <c r="D21" s="70"/>
      <c r="E21" s="23"/>
      <c r="F21" s="24"/>
      <c r="G21" s="3"/>
    </row>
    <row r="22" spans="3:7">
      <c r="C22" s="3"/>
      <c r="D22" s="71"/>
      <c r="E22" s="23"/>
      <c r="F22" s="24"/>
      <c r="G22" s="3"/>
    </row>
    <row r="23" spans="3:7">
      <c r="C23" s="3"/>
      <c r="D23" s="71"/>
      <c r="E23" s="25"/>
      <c r="F23" s="24"/>
      <c r="G23" s="3"/>
    </row>
    <row r="24" spans="3:7">
      <c r="C24" s="3"/>
      <c r="D24" s="71"/>
      <c r="E24" s="25"/>
      <c r="F24" s="26"/>
      <c r="G24" s="3"/>
    </row>
    <row r="25" spans="3:7">
      <c r="C25" s="3"/>
      <c r="D25" s="71"/>
      <c r="E25" s="25"/>
      <c r="F25" s="26"/>
      <c r="G25" s="3"/>
    </row>
    <row r="26" spans="3:7">
      <c r="C26" s="3"/>
      <c r="D26" s="71"/>
      <c r="E26" s="25"/>
      <c r="F26" s="26"/>
      <c r="G26" s="3"/>
    </row>
    <row r="27" spans="3:7">
      <c r="C27" s="3"/>
      <c r="D27" s="71"/>
      <c r="E27" s="25"/>
      <c r="F27" s="26"/>
      <c r="G27" s="3"/>
    </row>
    <row r="28" spans="3:7">
      <c r="C28" s="3"/>
      <c r="D28" s="71"/>
      <c r="E28" s="23"/>
      <c r="F28" s="24"/>
      <c r="G28" s="3"/>
    </row>
    <row r="29" spans="3:7">
      <c r="C29" s="3"/>
      <c r="D29" s="71"/>
      <c r="E29" s="23"/>
      <c r="F29" s="24"/>
      <c r="G29" s="3"/>
    </row>
    <row r="30" spans="3:7" ht="15.75" customHeight="1">
      <c r="C30" s="3"/>
      <c r="D30" s="71"/>
      <c r="E30" s="25"/>
      <c r="F30" s="26"/>
      <c r="G30" s="1"/>
    </row>
    <row r="31" spans="3:7">
      <c r="C31" s="3"/>
      <c r="D31" s="71"/>
      <c r="E31" s="25"/>
      <c r="F31" s="26"/>
      <c r="G31" s="1"/>
    </row>
    <row r="32" spans="3:7">
      <c r="C32" s="3"/>
      <c r="D32" s="63"/>
      <c r="E32" s="25"/>
      <c r="F32" s="26"/>
      <c r="G32" s="1"/>
    </row>
    <row r="33" spans="3:7">
      <c r="C33" s="3"/>
      <c r="D33" s="63"/>
      <c r="E33" s="25"/>
      <c r="F33" s="26"/>
      <c r="G33" s="1"/>
    </row>
    <row r="34" spans="3:7">
      <c r="C34" s="3"/>
      <c r="D34" s="63"/>
      <c r="E34" s="25"/>
      <c r="F34" s="26"/>
      <c r="G34" s="1"/>
    </row>
    <row r="35" spans="3:7">
      <c r="C35" s="3"/>
      <c r="D35" s="63"/>
      <c r="E35" s="25"/>
      <c r="F35" s="26"/>
      <c r="G35" s="1"/>
    </row>
    <row r="36" spans="3:7">
      <c r="C36" s="3"/>
      <c r="D36" s="63"/>
      <c r="E36" s="25"/>
      <c r="F36" s="26"/>
      <c r="G36" s="1"/>
    </row>
    <row r="37" spans="3:7">
      <c r="C37" s="3"/>
      <c r="D37" s="63"/>
      <c r="E37" s="25"/>
      <c r="F37" s="26"/>
      <c r="G37" s="1"/>
    </row>
    <row r="38" spans="3:7">
      <c r="C38" s="3"/>
      <c r="D38" s="63"/>
      <c r="E38" s="25"/>
      <c r="F38" s="26"/>
      <c r="G38" s="1"/>
    </row>
    <row r="39" spans="3:7">
      <c r="C39" s="3"/>
      <c r="D39" s="63"/>
      <c r="E39" s="23"/>
      <c r="F39" s="24"/>
      <c r="G39" s="3"/>
    </row>
    <row r="40" spans="3:7">
      <c r="C40" s="3"/>
      <c r="D40" s="63"/>
      <c r="E40" s="23"/>
      <c r="F40" s="24"/>
      <c r="G40" s="3"/>
    </row>
    <row r="41" spans="3:7">
      <c r="C41" s="3"/>
      <c r="D41" s="63"/>
      <c r="E41" s="23"/>
      <c r="F41" s="24"/>
      <c r="G41" s="3"/>
    </row>
    <row r="42" spans="3:7">
      <c r="C42" s="3"/>
      <c r="D42" s="63"/>
      <c r="E42" s="23"/>
      <c r="F42" s="24"/>
      <c r="G42" s="3"/>
    </row>
    <row r="43" spans="3:7">
      <c r="D43" s="63"/>
      <c r="E43" s="23"/>
      <c r="F43" s="24"/>
    </row>
    <row r="44" spans="3:7">
      <c r="D44" s="63"/>
      <c r="E44" s="23"/>
      <c r="F44" s="24"/>
    </row>
    <row r="45" spans="3:7">
      <c r="D45" s="63"/>
      <c r="E45" s="23"/>
      <c r="F45" s="24"/>
    </row>
    <row r="46" spans="3:7">
      <c r="D46" s="63"/>
      <c r="E46" s="23"/>
      <c r="F46" s="24"/>
    </row>
    <row r="47" spans="3:7">
      <c r="D47" s="63"/>
      <c r="E47" s="23"/>
      <c r="F47" s="24"/>
    </row>
    <row r="48" spans="3:7">
      <c r="D48" s="63"/>
      <c r="E48" s="23"/>
      <c r="F48" s="24"/>
    </row>
    <row r="49" spans="4:6">
      <c r="D49" s="63"/>
      <c r="E49" s="23"/>
      <c r="F49" s="24"/>
    </row>
    <row r="50" spans="4:6">
      <c r="D50" s="63"/>
      <c r="E50" s="23"/>
      <c r="F50" s="24"/>
    </row>
    <row r="51" spans="4:6">
      <c r="D51" s="63"/>
      <c r="E51" s="23"/>
      <c r="F51" s="24"/>
    </row>
    <row r="52" spans="4:6">
      <c r="D52" s="63"/>
      <c r="E52" s="23"/>
      <c r="F52" s="24"/>
    </row>
    <row r="53" spans="4:6">
      <c r="D53" s="63"/>
      <c r="E53" s="23"/>
      <c r="F53" s="24"/>
    </row>
    <row r="54" spans="4:6">
      <c r="D54" s="63"/>
      <c r="E54" s="23"/>
      <c r="F54" s="24"/>
    </row>
    <row r="55" spans="4:6">
      <c r="D55" s="63"/>
      <c r="E55" s="23"/>
      <c r="F55" s="24"/>
    </row>
    <row r="56" spans="4:6">
      <c r="D56" s="64"/>
      <c r="E56" s="23"/>
      <c r="F56" s="24"/>
    </row>
    <row r="57" spans="4:6">
      <c r="D57" s="64"/>
      <c r="E57" s="23"/>
      <c r="F57" s="24"/>
    </row>
  </sheetData>
  <mergeCells count="1">
    <mergeCell ref="I7:J9"/>
  </mergeCells>
  <phoneticPr fontId="2" type="noConversion"/>
  <conditionalFormatting sqref="E4">
    <cfRule type="cellIs" dxfId="9" priority="1" operator="equal">
      <formula>"运行中"</formula>
    </cfRule>
  </conditionalFormatting>
  <dataValidations count="2">
    <dataValidation type="list" allowBlank="1" showInputMessage="1" showErrorMessage="1" sqref="I7:J9" xr:uid="{22D3C57E-5E83-4068-8F36-593C3A471BC1}">
      <formula1>"空,导出,上传,重置"</formula1>
    </dataValidation>
    <dataValidation type="list" allowBlank="1" showInputMessage="1" showErrorMessage="1" sqref="E4" xr:uid="{E315C015-5443-48D0-BEB0-B801704ABB3F}">
      <formula1>"空,运行中"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ResetInterface">
                <anchor moveWithCells="1" sizeWithCells="1">
                  <from>
                    <xdr:col>3</xdr:col>
                    <xdr:colOff>368300</xdr:colOff>
                    <xdr:row>13</xdr:row>
                    <xdr:rowOff>127000</xdr:rowOff>
                  </from>
                  <to>
                    <xdr:col>4</xdr:col>
                    <xdr:colOff>457200</xdr:colOff>
                    <xdr:row>15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CD2EB2-4DA0-4D1A-838E-2D599494BC87}">
          <x14:formula1>
            <xm:f>配置设置表!$E$37:$E$45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5256D-92D3-4306-B7AB-DC62CDA41433}">
  <sheetPr codeName="Sheet5"/>
  <dimension ref="A8:Q343"/>
  <sheetViews>
    <sheetView topLeftCell="A32" zoomScaleNormal="100" workbookViewId="0">
      <selection activeCell="N79" sqref="N79"/>
    </sheetView>
  </sheetViews>
  <sheetFormatPr baseColWidth="10" defaultColWidth="9" defaultRowHeight="15"/>
  <cols>
    <col min="1" max="16384" width="9" style="11"/>
  </cols>
  <sheetData>
    <row r="8" spans="1:17">
      <c r="A8" s="11" t="s">
        <v>385</v>
      </c>
    </row>
    <row r="9" spans="1:17">
      <c r="Q9"/>
    </row>
    <row r="11" spans="1:17">
      <c r="B11" s="11" t="s">
        <v>384</v>
      </c>
    </row>
    <row r="12" spans="1:17">
      <c r="B12" s="11" t="s">
        <v>386</v>
      </c>
    </row>
    <row r="13" spans="1:17">
      <c r="B13" s="11" t="s">
        <v>387</v>
      </c>
    </row>
    <row r="14" spans="1:17">
      <c r="B14" s="11" t="s">
        <v>532</v>
      </c>
    </row>
    <row r="17" spans="1:2">
      <c r="A17" s="11" t="s">
        <v>389</v>
      </c>
    </row>
    <row r="20" spans="1:2">
      <c r="A20" s="11">
        <v>1</v>
      </c>
      <c r="B20" s="11" t="s">
        <v>390</v>
      </c>
    </row>
    <row r="22" spans="1:2">
      <c r="B22" s="11" t="s">
        <v>391</v>
      </c>
    </row>
    <row r="25" spans="1:2">
      <c r="A25" s="11">
        <v>2</v>
      </c>
      <c r="B25" s="11" t="s">
        <v>392</v>
      </c>
    </row>
    <row r="27" spans="1:2">
      <c r="B27" s="11" t="s">
        <v>395</v>
      </c>
    </row>
    <row r="28" spans="1:2">
      <c r="B28" s="11" t="s">
        <v>388</v>
      </c>
    </row>
    <row r="29" spans="1:2">
      <c r="B29" s="11" t="s">
        <v>393</v>
      </c>
    </row>
    <row r="42" spans="1:2">
      <c r="A42" s="11">
        <v>3</v>
      </c>
      <c r="B42" s="11" t="s">
        <v>394</v>
      </c>
    </row>
    <row r="44" spans="1:2">
      <c r="B44" s="11" t="s">
        <v>396</v>
      </c>
    </row>
    <row r="45" spans="1:2">
      <c r="B45" s="11" t="s">
        <v>397</v>
      </c>
    </row>
    <row r="48" spans="1:2">
      <c r="A48" s="11">
        <v>4</v>
      </c>
      <c r="B48" s="11" t="s">
        <v>399</v>
      </c>
    </row>
    <row r="50" spans="2:2">
      <c r="B50" s="11" t="s">
        <v>398</v>
      </c>
    </row>
    <row r="76" spans="1:2">
      <c r="A76" s="11">
        <v>5</v>
      </c>
      <c r="B76" s="11" t="s">
        <v>400</v>
      </c>
    </row>
    <row r="78" spans="1:2">
      <c r="B78" s="11" t="s">
        <v>401</v>
      </c>
    </row>
    <row r="79" spans="1:2">
      <c r="B79" s="11" t="s">
        <v>402</v>
      </c>
    </row>
    <row r="81" spans="2:3">
      <c r="B81" s="11">
        <v>1</v>
      </c>
      <c r="C81" s="11" t="s">
        <v>48</v>
      </c>
    </row>
    <row r="83" spans="2:3">
      <c r="C83" s="11" t="s">
        <v>403</v>
      </c>
    </row>
    <row r="93" spans="2:3">
      <c r="C93" s="11" t="s">
        <v>404</v>
      </c>
    </row>
    <row r="95" spans="2:3">
      <c r="C95" s="11" t="s">
        <v>405</v>
      </c>
    </row>
    <row r="96" spans="2:3">
      <c r="C96" s="11" t="s">
        <v>406</v>
      </c>
    </row>
    <row r="99" spans="2:3">
      <c r="B99" s="11">
        <v>2</v>
      </c>
      <c r="C99" s="11" t="s">
        <v>12</v>
      </c>
    </row>
    <row r="101" spans="2:3">
      <c r="C101" s="11" t="s">
        <v>407</v>
      </c>
    </row>
    <row r="102" spans="2:3">
      <c r="C102" s="11" t="s">
        <v>408</v>
      </c>
    </row>
    <row r="118" spans="1:12">
      <c r="A118" s="11" t="s">
        <v>409</v>
      </c>
    </row>
    <row r="120" spans="1:12">
      <c r="K120" s="11" t="s">
        <v>432</v>
      </c>
    </row>
    <row r="121" spans="1:12">
      <c r="B121" s="11">
        <v>1</v>
      </c>
      <c r="C121" s="11" t="s">
        <v>410</v>
      </c>
    </row>
    <row r="122" spans="1:12">
      <c r="K122" s="11" t="s">
        <v>411</v>
      </c>
    </row>
    <row r="123" spans="1:12">
      <c r="K123" s="11">
        <v>1</v>
      </c>
      <c r="L123" s="11" t="s">
        <v>2</v>
      </c>
    </row>
    <row r="124" spans="1:12">
      <c r="L124" s="11" t="s">
        <v>413</v>
      </c>
    </row>
    <row r="125" spans="1:12">
      <c r="K125" s="11">
        <v>2</v>
      </c>
      <c r="L125" s="11" t="s">
        <v>412</v>
      </c>
    </row>
    <row r="126" spans="1:12">
      <c r="L126" s="11" t="s">
        <v>414</v>
      </c>
    </row>
    <row r="127" spans="1:12">
      <c r="L127" s="11" t="s">
        <v>421</v>
      </c>
    </row>
    <row r="128" spans="1:12">
      <c r="K128" s="11">
        <v>3</v>
      </c>
      <c r="L128" s="11" t="s">
        <v>415</v>
      </c>
    </row>
    <row r="129" spans="2:12">
      <c r="L129" s="11" t="s">
        <v>416</v>
      </c>
    </row>
    <row r="130" spans="2:12">
      <c r="L130" s="11" t="s">
        <v>422</v>
      </c>
    </row>
    <row r="131" spans="2:12">
      <c r="K131" s="11">
        <v>4</v>
      </c>
      <c r="L131" s="11" t="s">
        <v>417</v>
      </c>
    </row>
    <row r="132" spans="2:12">
      <c r="L132" s="11" t="s">
        <v>418</v>
      </c>
    </row>
    <row r="133" spans="2:12">
      <c r="L133" s="11" t="s">
        <v>419</v>
      </c>
    </row>
    <row r="135" spans="2:12">
      <c r="K135" s="11" t="s">
        <v>420</v>
      </c>
    </row>
    <row r="137" spans="2:12">
      <c r="K137" s="11" t="s">
        <v>423</v>
      </c>
    </row>
    <row r="138" spans="2:12">
      <c r="K138" s="11" t="s">
        <v>424</v>
      </c>
    </row>
    <row r="140" spans="2:12">
      <c r="K140" s="11" t="s">
        <v>425</v>
      </c>
      <c r="L140" s="11" t="s">
        <v>426</v>
      </c>
    </row>
    <row r="141" spans="2:12">
      <c r="K141" s="11" t="s">
        <v>427</v>
      </c>
      <c r="L141" s="11" t="s">
        <v>428</v>
      </c>
    </row>
    <row r="142" spans="2:12">
      <c r="K142" s="11" t="s">
        <v>429</v>
      </c>
      <c r="L142" s="11" t="s">
        <v>430</v>
      </c>
    </row>
    <row r="144" spans="2:12">
      <c r="B144" s="11">
        <v>2</v>
      </c>
      <c r="C144" s="11" t="s">
        <v>431</v>
      </c>
    </row>
    <row r="149" spans="11:12">
      <c r="K149" s="11" t="s">
        <v>171</v>
      </c>
      <c r="L149" s="11" t="s">
        <v>433</v>
      </c>
    </row>
    <row r="150" spans="11:12">
      <c r="L150" s="11" t="s">
        <v>434</v>
      </c>
    </row>
    <row r="153" spans="11:12">
      <c r="K153" s="11" t="s">
        <v>57</v>
      </c>
      <c r="L153" s="11" t="s">
        <v>435</v>
      </c>
    </row>
    <row r="155" spans="11:12">
      <c r="K155" s="11" t="s">
        <v>58</v>
      </c>
      <c r="L155" s="11" t="s">
        <v>436</v>
      </c>
    </row>
    <row r="157" spans="11:12">
      <c r="K157" s="11" t="s">
        <v>59</v>
      </c>
      <c r="L157" s="11" t="s">
        <v>437</v>
      </c>
    </row>
    <row r="162" spans="2:6">
      <c r="B162" s="11">
        <v>3</v>
      </c>
      <c r="C162" s="11" t="s">
        <v>438</v>
      </c>
    </row>
    <row r="164" spans="2:6">
      <c r="C164" s="11" t="s">
        <v>440</v>
      </c>
      <c r="D164" s="11" t="s">
        <v>441</v>
      </c>
    </row>
    <row r="165" spans="2:6">
      <c r="C165" s="11" t="s">
        <v>442</v>
      </c>
      <c r="D165" s="11" t="s">
        <v>470</v>
      </c>
    </row>
    <row r="166" spans="2:6">
      <c r="C166" s="11" t="s">
        <v>443</v>
      </c>
      <c r="D166" s="11" t="s">
        <v>444</v>
      </c>
    </row>
    <row r="168" spans="2:6">
      <c r="C168" s="46" t="s">
        <v>445</v>
      </c>
    </row>
    <row r="169" spans="2:6">
      <c r="C169" s="11" t="s">
        <v>446</v>
      </c>
    </row>
    <row r="171" spans="2:6">
      <c r="C171" s="12" t="s">
        <v>448</v>
      </c>
      <c r="D171" s="67" t="s">
        <v>449</v>
      </c>
      <c r="E171" s="68"/>
      <c r="F171" s="12" t="s">
        <v>450</v>
      </c>
    </row>
    <row r="172" spans="2:6">
      <c r="C172" s="47">
        <v>1.1000000000000001</v>
      </c>
      <c r="D172" s="67" t="s">
        <v>548</v>
      </c>
      <c r="E172" s="68"/>
      <c r="F172" s="12" t="s">
        <v>451</v>
      </c>
    </row>
    <row r="173" spans="2:6">
      <c r="C173" s="47" t="s">
        <v>447</v>
      </c>
      <c r="D173" s="67" t="s">
        <v>452</v>
      </c>
      <c r="E173" s="68"/>
      <c r="F173" s="12" t="s">
        <v>531</v>
      </c>
    </row>
    <row r="174" spans="2:6">
      <c r="C174" s="47" t="s">
        <v>453</v>
      </c>
      <c r="D174" s="67" t="s">
        <v>452</v>
      </c>
      <c r="E174" s="68"/>
      <c r="F174" s="12" t="s">
        <v>455</v>
      </c>
    </row>
    <row r="175" spans="2:6">
      <c r="C175" s="47" t="s">
        <v>454</v>
      </c>
      <c r="D175" s="67" t="s">
        <v>452</v>
      </c>
      <c r="E175" s="68"/>
      <c r="F175" s="12" t="s">
        <v>455</v>
      </c>
    </row>
    <row r="176" spans="2:6">
      <c r="C176" s="47" t="s">
        <v>456</v>
      </c>
      <c r="D176" s="67" t="s">
        <v>547</v>
      </c>
      <c r="E176" s="68"/>
      <c r="F176" s="12" t="s">
        <v>457</v>
      </c>
    </row>
    <row r="177" spans="3:6">
      <c r="C177" s="47"/>
      <c r="D177" s="67" t="s">
        <v>459</v>
      </c>
      <c r="E177" s="68"/>
      <c r="F177" s="12" t="s">
        <v>460</v>
      </c>
    </row>
    <row r="178" spans="3:6">
      <c r="C178" s="47"/>
      <c r="D178" s="67"/>
      <c r="E178" s="68"/>
      <c r="F178" s="12"/>
    </row>
    <row r="179" spans="3:6">
      <c r="C179" s="47"/>
      <c r="D179" s="67"/>
      <c r="E179" s="68"/>
      <c r="F179" s="12"/>
    </row>
    <row r="180" spans="3:6">
      <c r="C180" s="47"/>
      <c r="D180" s="67"/>
      <c r="E180" s="68"/>
      <c r="F180" s="12"/>
    </row>
    <row r="183" spans="3:6">
      <c r="C183" s="48" t="s">
        <v>458</v>
      </c>
    </row>
    <row r="221" spans="3:3">
      <c r="C221" s="46" t="s">
        <v>530</v>
      </c>
    </row>
    <row r="223" spans="3:3">
      <c r="C223" s="11" t="s">
        <v>461</v>
      </c>
    </row>
    <row r="224" spans="3:3">
      <c r="C224" s="49" t="s">
        <v>468</v>
      </c>
    </row>
    <row r="225" spans="3:7">
      <c r="C225" s="49" t="s">
        <v>469</v>
      </c>
    </row>
    <row r="227" spans="3:7">
      <c r="C227" s="11" t="s">
        <v>462</v>
      </c>
    </row>
    <row r="229" spans="3:7">
      <c r="C229" s="47">
        <v>1</v>
      </c>
      <c r="E229" s="47" t="s">
        <v>463</v>
      </c>
      <c r="G229" s="11" t="s">
        <v>465</v>
      </c>
    </row>
    <row r="230" spans="3:7">
      <c r="C230" s="47">
        <v>1.3</v>
      </c>
      <c r="E230" s="47" t="s">
        <v>464</v>
      </c>
      <c r="G230" s="11" t="s">
        <v>466</v>
      </c>
    </row>
    <row r="231" spans="3:7">
      <c r="C231" s="47">
        <v>1.4</v>
      </c>
      <c r="E231" s="47">
        <v>1.4</v>
      </c>
      <c r="G231" s="11" t="s">
        <v>467</v>
      </c>
    </row>
    <row r="244" spans="3:5">
      <c r="C244" s="50" t="s">
        <v>471</v>
      </c>
      <c r="D244" s="50"/>
      <c r="E244" s="50"/>
    </row>
    <row r="246" spans="3:5">
      <c r="C246" s="11" t="s">
        <v>472</v>
      </c>
    </row>
    <row r="278" spans="3:3">
      <c r="C278" s="46" t="s">
        <v>473</v>
      </c>
    </row>
    <row r="310" spans="1:3">
      <c r="A310" s="11" t="s">
        <v>549</v>
      </c>
      <c r="B310" s="11" t="s">
        <v>550</v>
      </c>
    </row>
    <row r="312" spans="1:3">
      <c r="B312" s="11" t="s">
        <v>551</v>
      </c>
    </row>
    <row r="314" spans="1:3">
      <c r="B314" s="11">
        <v>1</v>
      </c>
      <c r="C314" s="11" t="s">
        <v>552</v>
      </c>
    </row>
    <row r="322" spans="2:4">
      <c r="B322" s="11">
        <v>2</v>
      </c>
      <c r="C322" s="11" t="s">
        <v>553</v>
      </c>
    </row>
    <row r="327" spans="2:4">
      <c r="B327" s="11">
        <v>3</v>
      </c>
      <c r="C327" s="11" t="s">
        <v>554</v>
      </c>
    </row>
    <row r="329" spans="2:4">
      <c r="D329" s="11" t="s">
        <v>559</v>
      </c>
    </row>
    <row r="338" spans="2:3">
      <c r="C338" s="46" t="s">
        <v>555</v>
      </c>
    </row>
    <row r="340" spans="2:3">
      <c r="B340" s="11" t="s">
        <v>556</v>
      </c>
    </row>
    <row r="342" spans="2:3">
      <c r="C342" s="11" t="s">
        <v>557</v>
      </c>
    </row>
    <row r="343" spans="2:3">
      <c r="C343" s="11" t="s">
        <v>558</v>
      </c>
    </row>
  </sheetData>
  <mergeCells count="10">
    <mergeCell ref="D177:E177"/>
    <mergeCell ref="D178:E178"/>
    <mergeCell ref="D179:E179"/>
    <mergeCell ref="D180:E180"/>
    <mergeCell ref="D171:E171"/>
    <mergeCell ref="D172:E172"/>
    <mergeCell ref="D173:E173"/>
    <mergeCell ref="D174:E174"/>
    <mergeCell ref="D175:E175"/>
    <mergeCell ref="D176:E176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3D825-B3CC-4136-982E-519D52DA6C61}">
  <sheetPr codeName="Sheet8"/>
  <dimension ref="D4:M58"/>
  <sheetViews>
    <sheetView tabSelected="1" topLeftCell="A2" zoomScale="158" workbookViewId="0">
      <selection activeCell="F8" sqref="F8"/>
    </sheetView>
  </sheetViews>
  <sheetFormatPr baseColWidth="10" defaultColWidth="9" defaultRowHeight="13"/>
  <cols>
    <col min="1" max="3" width="9" style="2"/>
    <col min="4" max="4" width="12.1640625" style="2" customWidth="1"/>
    <col min="5" max="5" width="8.83203125" style="2" customWidth="1"/>
    <col min="6" max="6" width="30" style="2" bestFit="1" customWidth="1"/>
    <col min="7" max="7" width="29.83203125" style="2" customWidth="1"/>
    <col min="8" max="16384" width="9" style="2"/>
  </cols>
  <sheetData>
    <row r="4" spans="4:13">
      <c r="D4" s="2" t="s">
        <v>12</v>
      </c>
    </row>
    <row r="6" spans="4:13">
      <c r="D6" s="27" t="s">
        <v>13</v>
      </c>
      <c r="E6" s="27" t="s">
        <v>14</v>
      </c>
      <c r="F6" s="27" t="s">
        <v>15</v>
      </c>
      <c r="G6" s="28" t="s">
        <v>16</v>
      </c>
      <c r="M6" s="3"/>
    </row>
    <row r="7" spans="4:13">
      <c r="D7" s="31" t="s">
        <v>17</v>
      </c>
      <c r="E7" s="29">
        <v>1</v>
      </c>
      <c r="F7" s="31"/>
      <c r="G7" s="34"/>
      <c r="M7" s="3"/>
    </row>
    <row r="8" spans="4:13">
      <c r="D8" s="31" t="s">
        <v>6</v>
      </c>
      <c r="E8" s="29">
        <v>2</v>
      </c>
      <c r="F8" s="31" t="s">
        <v>571</v>
      </c>
      <c r="G8" s="34"/>
      <c r="M8" s="3"/>
    </row>
    <row r="9" spans="4:13">
      <c r="D9" s="31" t="s">
        <v>18</v>
      </c>
      <c r="E9" s="29">
        <v>3</v>
      </c>
      <c r="F9" s="31"/>
      <c r="G9" s="34"/>
      <c r="M9" s="3"/>
    </row>
    <row r="10" spans="4:13">
      <c r="D10" s="31" t="s">
        <v>19</v>
      </c>
      <c r="E10" s="29">
        <v>4</v>
      </c>
      <c r="F10" s="31"/>
      <c r="G10" s="34"/>
      <c r="M10" s="3"/>
    </row>
    <row r="11" spans="4:13">
      <c r="D11" s="31" t="s">
        <v>20</v>
      </c>
      <c r="E11" s="29">
        <v>5</v>
      </c>
      <c r="F11" s="31"/>
      <c r="G11" s="34"/>
      <c r="M11" s="3"/>
    </row>
    <row r="12" spans="4:13">
      <c r="D12" s="31" t="s">
        <v>21</v>
      </c>
      <c r="E12" s="29">
        <v>6</v>
      </c>
      <c r="F12" s="31"/>
      <c r="G12" s="34"/>
      <c r="M12" s="3"/>
    </row>
    <row r="13" spans="4:13">
      <c r="D13" s="31" t="s">
        <v>22</v>
      </c>
      <c r="E13" s="29">
        <v>7</v>
      </c>
      <c r="F13" s="31"/>
      <c r="G13" s="34"/>
      <c r="M13" s="3"/>
    </row>
    <row r="14" spans="4:13">
      <c r="D14" s="31" t="s">
        <v>23</v>
      </c>
      <c r="E14" s="29">
        <v>8</v>
      </c>
      <c r="F14" s="31"/>
      <c r="G14" s="34"/>
    </row>
    <row r="15" spans="4:13">
      <c r="D15" s="31"/>
      <c r="E15" s="29"/>
      <c r="F15" s="31"/>
      <c r="G15" s="34"/>
    </row>
    <row r="16" spans="4:13">
      <c r="D16" s="31"/>
      <c r="E16" s="30"/>
      <c r="F16" s="31"/>
      <c r="G16" s="34"/>
    </row>
    <row r="17" spans="4:7">
      <c r="D17" s="31"/>
      <c r="E17" s="30"/>
      <c r="F17" s="31"/>
      <c r="G17" s="34"/>
    </row>
    <row r="18" spans="4:7">
      <c r="D18" s="31"/>
      <c r="E18" s="30"/>
      <c r="F18" s="31"/>
      <c r="G18" s="34"/>
    </row>
    <row r="21" spans="4:7">
      <c r="D21" s="27" t="s">
        <v>24</v>
      </c>
      <c r="E21" s="27" t="s">
        <v>25</v>
      </c>
      <c r="F21" s="27" t="s">
        <v>26</v>
      </c>
    </row>
    <row r="22" spans="4:7">
      <c r="D22" s="31">
        <v>1</v>
      </c>
      <c r="E22" s="31" t="s">
        <v>27</v>
      </c>
      <c r="F22" s="31" t="s">
        <v>28</v>
      </c>
    </row>
    <row r="23" spans="4:7">
      <c r="D23" s="31">
        <v>2</v>
      </c>
      <c r="E23" s="31" t="s">
        <v>29</v>
      </c>
      <c r="F23" s="31" t="s">
        <v>30</v>
      </c>
    </row>
    <row r="24" spans="4:7">
      <c r="D24" s="31">
        <v>3</v>
      </c>
      <c r="E24" s="31" t="s">
        <v>31</v>
      </c>
      <c r="F24" s="31" t="s">
        <v>32</v>
      </c>
    </row>
    <row r="25" spans="4:7">
      <c r="D25" s="31">
        <v>4</v>
      </c>
      <c r="E25" s="31" t="s">
        <v>33</v>
      </c>
      <c r="F25" s="31" t="s">
        <v>34</v>
      </c>
    </row>
    <row r="26" spans="4:7">
      <c r="D26" s="31">
        <v>5</v>
      </c>
      <c r="E26" s="31" t="s">
        <v>35</v>
      </c>
      <c r="F26" s="31" t="s">
        <v>36</v>
      </c>
    </row>
    <row r="27" spans="4:7">
      <c r="D27" s="31">
        <v>6</v>
      </c>
      <c r="E27" s="31" t="s">
        <v>37</v>
      </c>
      <c r="F27" s="31" t="s">
        <v>38</v>
      </c>
    </row>
    <row r="28" spans="4:7">
      <c r="D28" s="31">
        <v>7</v>
      </c>
      <c r="E28" s="31" t="s">
        <v>39</v>
      </c>
      <c r="F28" s="31" t="s">
        <v>40</v>
      </c>
    </row>
    <row r="29" spans="4:7">
      <c r="D29" s="31">
        <v>8</v>
      </c>
      <c r="E29" s="31" t="s">
        <v>41</v>
      </c>
      <c r="F29" s="31" t="s">
        <v>42</v>
      </c>
    </row>
    <row r="30" spans="4:7">
      <c r="D30" s="31">
        <v>9</v>
      </c>
      <c r="E30" s="31" t="s">
        <v>43</v>
      </c>
      <c r="F30" s="31" t="s">
        <v>44</v>
      </c>
    </row>
    <row r="31" spans="4:7">
      <c r="D31" s="31"/>
      <c r="E31" s="31"/>
      <c r="F31" s="31"/>
    </row>
    <row r="36" spans="4:7">
      <c r="D36" s="27" t="s">
        <v>45</v>
      </c>
      <c r="E36" s="27" t="s">
        <v>46</v>
      </c>
      <c r="F36" s="27" t="s">
        <v>47</v>
      </c>
      <c r="G36" s="27" t="s">
        <v>48</v>
      </c>
    </row>
    <row r="37" spans="4:7">
      <c r="D37" s="31">
        <v>1</v>
      </c>
      <c r="E37" s="31" t="s">
        <v>49</v>
      </c>
      <c r="F37" s="31" t="s">
        <v>50</v>
      </c>
      <c r="G37" s="61" t="s">
        <v>544</v>
      </c>
    </row>
    <row r="38" spans="4:7">
      <c r="D38" s="31">
        <v>2</v>
      </c>
      <c r="E38" s="31" t="s">
        <v>51</v>
      </c>
      <c r="F38" s="31" t="s">
        <v>52</v>
      </c>
      <c r="G38" s="44" t="s">
        <v>53</v>
      </c>
    </row>
    <row r="39" spans="4:7">
      <c r="D39" s="31"/>
      <c r="E39" s="31"/>
      <c r="F39" s="31"/>
      <c r="G39" s="44"/>
    </row>
    <row r="40" spans="4:7">
      <c r="D40" s="32"/>
      <c r="E40" s="32"/>
      <c r="F40" s="32"/>
      <c r="G40" s="45"/>
    </row>
    <row r="41" spans="4:7">
      <c r="D41" s="31"/>
      <c r="E41" s="31"/>
      <c r="F41" s="31"/>
      <c r="G41" s="44"/>
    </row>
    <row r="42" spans="4:7">
      <c r="D42" s="31"/>
      <c r="E42" s="31"/>
      <c r="F42" s="31"/>
      <c r="G42" s="44"/>
    </row>
    <row r="43" spans="4:7">
      <c r="D43" s="31"/>
      <c r="E43" s="31"/>
      <c r="F43" s="31"/>
      <c r="G43" s="44"/>
    </row>
    <row r="44" spans="4:7">
      <c r="D44" s="31"/>
      <c r="E44" s="31"/>
      <c r="F44" s="31"/>
      <c r="G44" s="31"/>
    </row>
    <row r="45" spans="4:7">
      <c r="D45" s="31"/>
      <c r="E45" s="31"/>
      <c r="F45" s="31"/>
      <c r="G45" s="31"/>
    </row>
    <row r="49" spans="4:5">
      <c r="D49" s="27" t="s">
        <v>54</v>
      </c>
    </row>
    <row r="50" spans="4:5">
      <c r="D50" s="33" t="s">
        <v>570</v>
      </c>
    </row>
    <row r="53" spans="4:5">
      <c r="D53" s="27" t="s">
        <v>567</v>
      </c>
      <c r="E53" s="27" t="s">
        <v>569</v>
      </c>
    </row>
    <row r="54" spans="4:5">
      <c r="D54" s="31" t="s">
        <v>568</v>
      </c>
      <c r="E54" s="31" t="b">
        <v>0</v>
      </c>
    </row>
    <row r="55" spans="4:5">
      <c r="D55" s="31"/>
      <c r="E55" s="31"/>
    </row>
    <row r="56" spans="4:5">
      <c r="D56" s="31"/>
      <c r="E56" s="31"/>
    </row>
    <row r="57" spans="4:5">
      <c r="D57" s="31"/>
      <c r="E57" s="31"/>
    </row>
    <row r="58" spans="4:5">
      <c r="D58" s="31"/>
      <c r="E58" s="31"/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745D2-F978-4B97-BCC1-4048BA87C311}">
  <sheetPr codeName="Sheet9"/>
  <dimension ref="A6:H31"/>
  <sheetViews>
    <sheetView workbookViewId="0">
      <selection activeCell="K27" sqref="K27"/>
    </sheetView>
  </sheetViews>
  <sheetFormatPr baseColWidth="10" defaultColWidth="9" defaultRowHeight="15"/>
  <cols>
    <col min="1" max="16384" width="9" style="11"/>
  </cols>
  <sheetData>
    <row r="6" spans="1:8">
      <c r="A6" s="11" t="s">
        <v>55</v>
      </c>
    </row>
    <row r="8" spans="1:8">
      <c r="B8" s="12"/>
      <c r="C8" s="12"/>
      <c r="D8" s="12"/>
      <c r="E8" s="12"/>
      <c r="F8" s="12"/>
      <c r="H8" s="12"/>
    </row>
    <row r="9" spans="1:8">
      <c r="B9" s="12"/>
      <c r="C9" s="12"/>
      <c r="D9" s="12"/>
      <c r="E9" s="12"/>
      <c r="F9" s="12"/>
      <c r="H9" s="12"/>
    </row>
    <row r="10" spans="1:8">
      <c r="B10" s="12"/>
      <c r="C10" s="12"/>
      <c r="D10" s="12"/>
      <c r="E10" s="12"/>
      <c r="F10" s="12"/>
      <c r="H10" s="12"/>
    </row>
    <row r="11" spans="1:8">
      <c r="B11" s="12"/>
      <c r="C11" s="12"/>
      <c r="D11" s="12"/>
      <c r="E11" s="12"/>
      <c r="F11" s="12"/>
      <c r="H11" s="12"/>
    </row>
    <row r="12" spans="1:8">
      <c r="B12" s="12"/>
      <c r="C12" s="12"/>
      <c r="D12" s="12"/>
      <c r="E12" s="12"/>
      <c r="F12" s="12"/>
      <c r="H12" s="12"/>
    </row>
    <row r="13" spans="1:8">
      <c r="B13" s="12"/>
      <c r="C13" s="12"/>
      <c r="D13" s="12"/>
      <c r="E13" s="12"/>
      <c r="F13" s="12"/>
      <c r="H13" s="12"/>
    </row>
    <row r="14" spans="1:8">
      <c r="B14" s="12"/>
      <c r="C14" s="12"/>
      <c r="D14" s="12"/>
      <c r="E14" s="12"/>
      <c r="F14" s="12"/>
      <c r="H14" s="12"/>
    </row>
    <row r="15" spans="1:8">
      <c r="B15" s="12"/>
      <c r="C15" s="12"/>
      <c r="D15" s="12"/>
      <c r="E15" s="12"/>
      <c r="F15" s="12"/>
      <c r="H15" s="12"/>
    </row>
    <row r="16" spans="1:8">
      <c r="B16" s="12"/>
      <c r="C16" s="12"/>
      <c r="D16" s="12"/>
      <c r="E16" s="12"/>
      <c r="F16" s="12"/>
      <c r="H16" s="12"/>
    </row>
    <row r="17" spans="2:8">
      <c r="B17" s="12"/>
      <c r="C17" s="12"/>
      <c r="D17" s="12"/>
      <c r="E17" s="12"/>
      <c r="F17" s="12"/>
      <c r="H17" s="12"/>
    </row>
    <row r="18" spans="2:8">
      <c r="B18" s="12"/>
      <c r="C18" s="12"/>
      <c r="D18" s="12"/>
      <c r="E18" s="12"/>
      <c r="F18" s="12"/>
      <c r="H18" s="12"/>
    </row>
    <row r="19" spans="2:8">
      <c r="B19" s="12"/>
      <c r="C19" s="12"/>
      <c r="D19" s="12"/>
      <c r="E19" s="12"/>
      <c r="F19" s="12"/>
      <c r="H19" s="12"/>
    </row>
    <row r="20" spans="2:8">
      <c r="B20" s="12"/>
      <c r="C20" s="12"/>
      <c r="D20" s="12"/>
      <c r="E20" s="12"/>
      <c r="F20" s="12"/>
      <c r="H20" s="12"/>
    </row>
    <row r="21" spans="2:8">
      <c r="B21" s="12"/>
      <c r="C21" s="12"/>
      <c r="D21" s="12"/>
      <c r="E21" s="12"/>
      <c r="F21" s="12"/>
      <c r="H21" s="12"/>
    </row>
    <row r="22" spans="2:8">
      <c r="B22" s="12"/>
      <c r="C22" s="12"/>
      <c r="D22" s="12"/>
      <c r="E22" s="12"/>
      <c r="F22" s="12"/>
      <c r="H22" s="12"/>
    </row>
    <row r="23" spans="2:8">
      <c r="B23" s="12"/>
      <c r="C23" s="12"/>
      <c r="D23" s="12"/>
      <c r="E23" s="12"/>
      <c r="F23" s="12"/>
      <c r="H23" s="12"/>
    </row>
    <row r="24" spans="2:8">
      <c r="B24" s="12"/>
      <c r="C24" s="12"/>
      <c r="D24" s="12"/>
      <c r="E24" s="12"/>
      <c r="F24" s="12"/>
      <c r="H24" s="12"/>
    </row>
    <row r="25" spans="2:8">
      <c r="B25" s="12"/>
      <c r="C25" s="12"/>
      <c r="D25" s="12"/>
      <c r="E25" s="12"/>
      <c r="F25" s="12"/>
      <c r="H25" s="12"/>
    </row>
    <row r="26" spans="2:8">
      <c r="B26" s="12"/>
      <c r="C26" s="12"/>
      <c r="D26" s="12"/>
      <c r="E26" s="12"/>
      <c r="F26" s="12"/>
      <c r="H26" s="12"/>
    </row>
    <row r="27" spans="2:8">
      <c r="B27" s="12"/>
      <c r="C27" s="12"/>
      <c r="D27" s="12"/>
      <c r="E27" s="12"/>
      <c r="F27" s="12"/>
      <c r="H27" s="12"/>
    </row>
    <row r="28" spans="2:8">
      <c r="B28" s="12"/>
      <c r="C28" s="12"/>
      <c r="D28" s="12"/>
      <c r="E28" s="12"/>
      <c r="F28" s="12"/>
      <c r="H28" s="12"/>
    </row>
    <row r="29" spans="2:8">
      <c r="B29" s="12"/>
      <c r="C29" s="12"/>
      <c r="D29" s="12"/>
      <c r="E29" s="12"/>
      <c r="F29" s="12"/>
      <c r="H29" s="12"/>
    </row>
    <row r="30" spans="2:8">
      <c r="B30" s="12"/>
      <c r="C30" s="12"/>
      <c r="D30" s="12"/>
      <c r="E30" s="12"/>
      <c r="F30" s="12"/>
      <c r="H30" s="12"/>
    </row>
    <row r="31" spans="2:8">
      <c r="B31" s="12"/>
      <c r="C31" s="12"/>
      <c r="D31" s="12"/>
      <c r="E31" s="12"/>
      <c r="F31" s="12"/>
      <c r="H31" s="1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D12"/>
  <sheetViews>
    <sheetView workbookViewId="0">
      <selection activeCell="F23" sqref="F23"/>
    </sheetView>
  </sheetViews>
  <sheetFormatPr baseColWidth="10" defaultColWidth="9" defaultRowHeight="13"/>
  <cols>
    <col min="1" max="1" width="10.5" style="31" customWidth="1"/>
    <col min="2" max="2" width="12.83203125" style="31" customWidth="1"/>
    <col min="3" max="3" width="16.1640625" style="31" customWidth="1"/>
    <col min="4" max="4" width="10.83203125" style="31" customWidth="1"/>
    <col min="5" max="16384" width="9" style="2"/>
  </cols>
  <sheetData>
    <row r="1" spans="1:4">
      <c r="A1" s="36" t="s">
        <v>56</v>
      </c>
      <c r="B1" s="37" t="s">
        <v>57</v>
      </c>
      <c r="C1" s="37" t="s">
        <v>58</v>
      </c>
      <c r="D1" s="35" t="s">
        <v>59</v>
      </c>
    </row>
    <row r="2" spans="1:4">
      <c r="A2" s="38">
        <v>1</v>
      </c>
      <c r="B2" s="39" t="s">
        <v>60</v>
      </c>
      <c r="C2" s="37" t="s">
        <v>61</v>
      </c>
      <c r="D2" s="31" t="b">
        <v>1</v>
      </c>
    </row>
    <row r="3" spans="1:4">
      <c r="A3" s="38">
        <v>1</v>
      </c>
      <c r="B3" s="39" t="s">
        <v>62</v>
      </c>
      <c r="C3" s="37" t="s">
        <v>63</v>
      </c>
      <c r="D3" s="31" t="b">
        <v>1</v>
      </c>
    </row>
    <row r="4" spans="1:4">
      <c r="A4" s="38">
        <v>1</v>
      </c>
      <c r="B4" s="39" t="s">
        <v>64</v>
      </c>
      <c r="C4" s="37" t="s">
        <v>65</v>
      </c>
      <c r="D4" s="31" t="b">
        <v>1</v>
      </c>
    </row>
    <row r="5" spans="1:4">
      <c r="A5" s="38">
        <v>1</v>
      </c>
      <c r="B5" s="39" t="s">
        <v>66</v>
      </c>
      <c r="C5" s="37" t="s">
        <v>67</v>
      </c>
      <c r="D5" s="31" t="b">
        <v>1</v>
      </c>
    </row>
    <row r="6" spans="1:4">
      <c r="A6" s="38">
        <v>1</v>
      </c>
      <c r="B6" s="39" t="s">
        <v>68</v>
      </c>
      <c r="C6" s="37" t="s">
        <v>69</v>
      </c>
      <c r="D6" s="31" t="b">
        <v>1</v>
      </c>
    </row>
    <row r="7" spans="1:4">
      <c r="A7" s="38">
        <v>1</v>
      </c>
      <c r="B7" s="39" t="s">
        <v>70</v>
      </c>
      <c r="C7" s="37" t="s">
        <v>71</v>
      </c>
      <c r="D7" s="31" t="b">
        <v>1</v>
      </c>
    </row>
    <row r="8" spans="1:4">
      <c r="A8" s="38">
        <v>1</v>
      </c>
      <c r="B8" s="39" t="s">
        <v>72</v>
      </c>
      <c r="C8" s="37" t="s">
        <v>73</v>
      </c>
      <c r="D8" s="31" t="b">
        <v>1</v>
      </c>
    </row>
    <row r="9" spans="1:4">
      <c r="A9" s="38">
        <v>1</v>
      </c>
      <c r="B9" s="39" t="s">
        <v>74</v>
      </c>
      <c r="C9" s="37" t="s">
        <v>75</v>
      </c>
      <c r="D9" s="31" t="b">
        <v>1</v>
      </c>
    </row>
    <row r="10" spans="1:4">
      <c r="A10" s="38">
        <v>1</v>
      </c>
      <c r="B10" s="39" t="s">
        <v>566</v>
      </c>
      <c r="C10" s="37" t="s">
        <v>76</v>
      </c>
      <c r="D10" s="31" t="b">
        <v>1</v>
      </c>
    </row>
    <row r="11" spans="1:4">
      <c r="A11" s="38">
        <v>1</v>
      </c>
      <c r="B11" s="39" t="s">
        <v>77</v>
      </c>
      <c r="C11" s="37" t="s">
        <v>78</v>
      </c>
      <c r="D11" s="31" t="b">
        <v>1</v>
      </c>
    </row>
    <row r="12" spans="1:4">
      <c r="A12" s="38">
        <v>1</v>
      </c>
      <c r="B12" s="39" t="s">
        <v>79</v>
      </c>
      <c r="C12" s="37" t="s">
        <v>80</v>
      </c>
      <c r="D12" s="31" t="b">
        <v>1</v>
      </c>
    </row>
  </sheetData>
  <phoneticPr fontId="2" type="noConversion"/>
  <conditionalFormatting sqref="A1:A12">
    <cfRule type="cellIs" dxfId="8" priority="6" operator="equal">
      <formula>1</formula>
    </cfRule>
    <cfRule type="cellIs" dxfId="7" priority="7" operator="equal">
      <formula>1</formula>
    </cfRule>
    <cfRule type="cellIs" dxfId="6" priority="8" operator="equal">
      <formula>1</formula>
    </cfRule>
  </conditionalFormatting>
  <conditionalFormatting sqref="A1:A12">
    <cfRule type="cellIs" dxfId="5" priority="5" operator="equal">
      <formula>99</formula>
    </cfRule>
  </conditionalFormatting>
  <conditionalFormatting sqref="B1:B6">
    <cfRule type="duplicateValues" dxfId="4" priority="9"/>
  </conditionalFormatting>
  <conditionalFormatting sqref="C1:C6">
    <cfRule type="duplicateValues" dxfId="3" priority="10"/>
  </conditionalFormatting>
  <conditionalFormatting sqref="C12">
    <cfRule type="duplicateValues" dxfId="2" priority="1"/>
  </conditionalFormatting>
  <conditionalFormatting sqref="B7:B11">
    <cfRule type="duplicateValues" dxfId="1" priority="49"/>
  </conditionalFormatting>
  <conditionalFormatting sqref="C7:C11">
    <cfRule type="duplicateValues" dxfId="0" priority="51"/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6D9D-F30A-4727-906D-0E38D1A4250D}">
  <sheetPr codeName="Sheet2"/>
  <dimension ref="A1:O25"/>
  <sheetViews>
    <sheetView workbookViewId="0">
      <selection activeCell="C20" sqref="C20"/>
    </sheetView>
  </sheetViews>
  <sheetFormatPr baseColWidth="10" defaultColWidth="9" defaultRowHeight="15"/>
  <cols>
    <col min="1" max="12" width="9" style="6"/>
    <col min="13" max="13" width="11.1640625" style="6" customWidth="1"/>
    <col min="14" max="14" width="17.33203125" style="6" customWidth="1"/>
    <col min="15" max="15" width="39.1640625" style="6" customWidth="1"/>
    <col min="16" max="16384" width="9" style="6"/>
  </cols>
  <sheetData>
    <row r="1" spans="1:15">
      <c r="A1" s="4" t="s">
        <v>81</v>
      </c>
      <c r="B1" s="5" t="s">
        <v>82</v>
      </c>
      <c r="C1" s="5" t="s">
        <v>83</v>
      </c>
      <c r="D1" s="5" t="s">
        <v>31</v>
      </c>
      <c r="E1" s="5" t="s">
        <v>33</v>
      </c>
      <c r="F1" s="5" t="s">
        <v>35</v>
      </c>
      <c r="G1" s="5" t="s">
        <v>84</v>
      </c>
      <c r="H1" s="5" t="s">
        <v>85</v>
      </c>
      <c r="I1" s="5" t="s">
        <v>86</v>
      </c>
      <c r="J1" s="5" t="s">
        <v>87</v>
      </c>
      <c r="M1" s="7" t="s">
        <v>88</v>
      </c>
      <c r="N1" s="7" t="s">
        <v>89</v>
      </c>
      <c r="O1" s="6" t="s">
        <v>90</v>
      </c>
    </row>
    <row r="2" spans="1:15">
      <c r="A2" s="4" t="s">
        <v>91</v>
      </c>
      <c r="B2" s="5" t="s">
        <v>92</v>
      </c>
      <c r="C2" s="5" t="s">
        <v>93</v>
      </c>
      <c r="D2" s="5" t="s">
        <v>94</v>
      </c>
      <c r="E2" s="5" t="s">
        <v>95</v>
      </c>
      <c r="F2" s="5" t="s">
        <v>96</v>
      </c>
      <c r="G2" s="5" t="s">
        <v>97</v>
      </c>
      <c r="H2" s="5" t="s">
        <v>98</v>
      </c>
      <c r="I2" s="5" t="s">
        <v>99</v>
      </c>
      <c r="J2" s="5" t="s">
        <v>100</v>
      </c>
      <c r="N2" s="7" t="s">
        <v>101</v>
      </c>
      <c r="O2" s="6" t="s">
        <v>102</v>
      </c>
    </row>
    <row r="3" spans="1:15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 s="6" t="s">
        <v>103</v>
      </c>
      <c r="O3" s="6" t="s">
        <v>104</v>
      </c>
    </row>
    <row r="4" spans="1:15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 s="6" t="s">
        <v>105</v>
      </c>
      <c r="O4" s="6" t="s">
        <v>106</v>
      </c>
    </row>
    <row r="5" spans="1:15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 s="6" t="s">
        <v>107</v>
      </c>
      <c r="O5" s="6" t="s">
        <v>108</v>
      </c>
    </row>
    <row r="6" spans="1:15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 s="6" t="s">
        <v>109</v>
      </c>
      <c r="O6" s="6" t="s">
        <v>110</v>
      </c>
    </row>
    <row r="7" spans="1:15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 s="6" t="s">
        <v>111</v>
      </c>
      <c r="O7" s="6" t="s">
        <v>112</v>
      </c>
    </row>
    <row r="8" spans="1:15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 s="6" t="s">
        <v>113</v>
      </c>
      <c r="O8" s="6" t="s">
        <v>114</v>
      </c>
    </row>
    <row r="9" spans="1:15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 s="6" t="s">
        <v>115</v>
      </c>
      <c r="O9" s="6" t="s">
        <v>116</v>
      </c>
    </row>
    <row r="10" spans="1:15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 s="6" t="s">
        <v>117</v>
      </c>
      <c r="O10" s="6" t="s">
        <v>118</v>
      </c>
    </row>
    <row r="11" spans="1:15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 s="6" t="s">
        <v>119</v>
      </c>
      <c r="O11" s="6" t="s">
        <v>120</v>
      </c>
    </row>
    <row r="12" spans="1:15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 s="6" t="s">
        <v>121</v>
      </c>
      <c r="O12" s="6" t="s">
        <v>122</v>
      </c>
    </row>
    <row r="13" spans="1:15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 s="6" t="s">
        <v>123</v>
      </c>
      <c r="O13" s="6" t="s">
        <v>124</v>
      </c>
    </row>
    <row r="14" spans="1:15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 s="6" t="s">
        <v>125</v>
      </c>
      <c r="O14" s="6" t="s">
        <v>126</v>
      </c>
    </row>
    <row r="15" spans="1:15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 s="6" t="s">
        <v>127</v>
      </c>
      <c r="O15" s="6" t="s">
        <v>128</v>
      </c>
    </row>
    <row r="16" spans="1:15">
      <c r="A16" s="4">
        <v>1</v>
      </c>
      <c r="B16" s="5">
        <v>1</v>
      </c>
      <c r="C16" s="5">
        <v>1.1000000000000001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 s="6" t="s">
        <v>129</v>
      </c>
      <c r="O16" s="6" t="s">
        <v>130</v>
      </c>
    </row>
    <row r="17" spans="1:15">
      <c r="A17" s="4">
        <v>1</v>
      </c>
      <c r="B17" s="5">
        <v>1</v>
      </c>
      <c r="C17" s="5">
        <v>1.2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 s="6" t="s">
        <v>131</v>
      </c>
      <c r="O17" s="6" t="s">
        <v>132</v>
      </c>
    </row>
    <row r="18" spans="1:15">
      <c r="A18" s="4">
        <v>1</v>
      </c>
      <c r="B18" s="5">
        <v>1</v>
      </c>
      <c r="C18" s="5">
        <v>1.3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 s="6" t="s">
        <v>133</v>
      </c>
      <c r="O18" s="6" t="s">
        <v>134</v>
      </c>
    </row>
    <row r="19" spans="1:15">
      <c r="A19" s="4">
        <v>1</v>
      </c>
      <c r="B19" s="5">
        <v>1</v>
      </c>
      <c r="C19" s="5">
        <v>1.2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 s="6" t="s">
        <v>135</v>
      </c>
      <c r="O19" s="6" t="s">
        <v>136</v>
      </c>
    </row>
    <row r="20" spans="1:15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 s="6" t="s">
        <v>137</v>
      </c>
      <c r="O20" s="6" t="s">
        <v>138</v>
      </c>
    </row>
    <row r="21" spans="1:15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 s="6" t="s">
        <v>139</v>
      </c>
      <c r="O21" s="6" t="s">
        <v>140</v>
      </c>
    </row>
    <row r="22" spans="1:15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 s="6" t="s">
        <v>141</v>
      </c>
      <c r="O22" s="6" t="s">
        <v>142</v>
      </c>
    </row>
    <row r="23" spans="1:15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 s="6" t="s">
        <v>143</v>
      </c>
      <c r="O23" s="6" t="s">
        <v>144</v>
      </c>
    </row>
    <row r="24" spans="1:15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 s="6" t="s">
        <v>145</v>
      </c>
      <c r="O24" s="6" t="s">
        <v>146</v>
      </c>
    </row>
    <row r="25" spans="1:15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 s="6" t="s">
        <v>147</v>
      </c>
      <c r="O25" s="6" t="s">
        <v>148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09BD2-9BEB-4EBB-9075-A08D93B6F85B}">
  <sheetPr codeName="Sheet3"/>
  <dimension ref="A1:V14"/>
  <sheetViews>
    <sheetView workbookViewId="0">
      <selection activeCell="A11" sqref="A11:A14"/>
    </sheetView>
  </sheetViews>
  <sheetFormatPr baseColWidth="10" defaultColWidth="9" defaultRowHeight="15"/>
  <cols>
    <col min="1" max="18" width="9" style="6"/>
    <col min="19" max="19" width="11.6640625" style="6" customWidth="1"/>
    <col min="20" max="16384" width="9" style="6"/>
  </cols>
  <sheetData>
    <row r="1" spans="1:22">
      <c r="L1" s="4" t="s">
        <v>439</v>
      </c>
      <c r="M1" s="4" t="s">
        <v>533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 t="s">
        <v>546</v>
      </c>
      <c r="T1" s="4">
        <v>1</v>
      </c>
      <c r="U1" s="4">
        <v>1.3</v>
      </c>
      <c r="V1" s="4">
        <v>1</v>
      </c>
    </row>
    <row r="6" spans="1:22">
      <c r="A6" s="4" t="s">
        <v>81</v>
      </c>
      <c r="B6" s="5" t="s">
        <v>82</v>
      </c>
      <c r="C6" s="5" t="s">
        <v>83</v>
      </c>
      <c r="D6" s="5" t="s">
        <v>31</v>
      </c>
      <c r="E6" s="5" t="s">
        <v>33</v>
      </c>
      <c r="F6" s="5" t="s">
        <v>35</v>
      </c>
      <c r="G6" s="5" t="s">
        <v>84</v>
      </c>
      <c r="H6" s="5" t="s">
        <v>85</v>
      </c>
      <c r="I6" s="5" t="s">
        <v>86</v>
      </c>
      <c r="J6" s="5" t="s">
        <v>87</v>
      </c>
      <c r="M6" s="7" t="s">
        <v>88</v>
      </c>
      <c r="N6" s="7" t="s">
        <v>149</v>
      </c>
      <c r="O6" s="8" t="s">
        <v>150</v>
      </c>
      <c r="P6" s="8" t="s">
        <v>151</v>
      </c>
      <c r="Q6" s="7" t="s">
        <v>152</v>
      </c>
      <c r="R6" s="7" t="s">
        <v>153</v>
      </c>
      <c r="S6" s="6" t="s">
        <v>154</v>
      </c>
      <c r="T6" s="6" t="s">
        <v>155</v>
      </c>
      <c r="U6" s="6" t="s">
        <v>156</v>
      </c>
      <c r="V6" s="6" t="s">
        <v>157</v>
      </c>
    </row>
    <row r="7" spans="1:22">
      <c r="A7" s="4" t="s">
        <v>91</v>
      </c>
      <c r="B7" s="5" t="s">
        <v>92</v>
      </c>
      <c r="C7" s="5" t="s">
        <v>93</v>
      </c>
      <c r="D7" s="5" t="s">
        <v>94</v>
      </c>
      <c r="E7" s="5" t="s">
        <v>95</v>
      </c>
      <c r="F7" s="5" t="s">
        <v>96</v>
      </c>
      <c r="G7" s="5" t="s">
        <v>97</v>
      </c>
      <c r="H7" s="5" t="s">
        <v>98</v>
      </c>
      <c r="I7" s="5" t="s">
        <v>99</v>
      </c>
      <c r="J7" s="5" t="s">
        <v>100</v>
      </c>
      <c r="N7" s="6" t="s">
        <v>158</v>
      </c>
      <c r="O7" s="8" t="s">
        <v>534</v>
      </c>
      <c r="P7" s="8" t="s">
        <v>535</v>
      </c>
      <c r="Q7" s="6" t="s">
        <v>159</v>
      </c>
      <c r="R7" s="6" t="s">
        <v>160</v>
      </c>
      <c r="S7" s="6" t="s">
        <v>161</v>
      </c>
      <c r="T7" s="6" t="s">
        <v>162</v>
      </c>
      <c r="U7" s="6" t="s">
        <v>163</v>
      </c>
      <c r="V7" s="6" t="s">
        <v>164</v>
      </c>
    </row>
    <row r="8" spans="1:2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 s="6">
        <v>1</v>
      </c>
      <c r="O8" s="6" t="s">
        <v>560</v>
      </c>
      <c r="P8" s="6">
        <v>0</v>
      </c>
      <c r="Q8" s="6">
        <v>1</v>
      </c>
      <c r="R8" s="6">
        <v>1</v>
      </c>
      <c r="S8" s="6">
        <v>1</v>
      </c>
      <c r="T8" s="6">
        <v>1</v>
      </c>
      <c r="U8" s="6">
        <v>0</v>
      </c>
      <c r="V8" s="6">
        <v>0</v>
      </c>
    </row>
    <row r="9" spans="1:22">
      <c r="A9" s="4">
        <v>1</v>
      </c>
      <c r="B9" s="5">
        <v>1</v>
      </c>
      <c r="C9" s="5"/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 s="6">
        <v>1</v>
      </c>
      <c r="O9" s="6" t="s">
        <v>560</v>
      </c>
      <c r="P9" s="6">
        <v>0</v>
      </c>
      <c r="Q9" s="6">
        <v>2</v>
      </c>
      <c r="R9" s="6">
        <v>1</v>
      </c>
      <c r="S9" s="6">
        <v>1</v>
      </c>
      <c r="T9" s="6">
        <v>1</v>
      </c>
      <c r="U9" s="6">
        <v>0</v>
      </c>
      <c r="V9" s="6">
        <v>0</v>
      </c>
    </row>
    <row r="10" spans="1:2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 s="6">
        <v>1</v>
      </c>
      <c r="O10" s="6" t="s">
        <v>560</v>
      </c>
      <c r="P10" s="6">
        <v>0</v>
      </c>
      <c r="Q10" s="6">
        <v>3</v>
      </c>
      <c r="R10" s="6">
        <v>1</v>
      </c>
      <c r="S10" s="6">
        <v>1</v>
      </c>
      <c r="T10" s="6">
        <v>1</v>
      </c>
      <c r="U10" s="6">
        <v>0</v>
      </c>
      <c r="V10" s="6">
        <v>0</v>
      </c>
    </row>
    <row r="11" spans="1:22">
      <c r="A11" s="4">
        <v>1</v>
      </c>
      <c r="B11" s="5">
        <v>1</v>
      </c>
      <c r="C11" s="5">
        <v>1.3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 s="6">
        <v>1</v>
      </c>
      <c r="O11" s="6" t="s">
        <v>560</v>
      </c>
      <c r="P11" s="6">
        <v>0</v>
      </c>
      <c r="Q11" s="6">
        <v>3</v>
      </c>
      <c r="R11" s="6">
        <v>1</v>
      </c>
      <c r="S11" s="6">
        <v>1</v>
      </c>
      <c r="T11" s="6">
        <v>1</v>
      </c>
      <c r="U11" s="6">
        <v>0</v>
      </c>
      <c r="V11" s="6">
        <v>0</v>
      </c>
    </row>
    <row r="12" spans="1:22">
      <c r="A12" s="4">
        <v>1.2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 s="6">
        <v>2</v>
      </c>
      <c r="O12" s="6" t="s">
        <v>561</v>
      </c>
      <c r="P12" s="6">
        <v>0</v>
      </c>
      <c r="Q12" s="6">
        <v>2</v>
      </c>
      <c r="R12" s="6">
        <v>1</v>
      </c>
      <c r="S12" s="6">
        <v>1</v>
      </c>
      <c r="T12" s="6">
        <v>1</v>
      </c>
      <c r="U12" s="6">
        <v>0</v>
      </c>
      <c r="V12" s="6">
        <v>0</v>
      </c>
    </row>
    <row r="13" spans="1:22">
      <c r="A13" s="4" t="s">
        <v>564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 s="6">
        <v>3</v>
      </c>
      <c r="O13" s="6" t="s">
        <v>562</v>
      </c>
      <c r="P13" s="6">
        <v>0</v>
      </c>
      <c r="Q13" s="6">
        <v>3</v>
      </c>
      <c r="R13" s="6">
        <v>1</v>
      </c>
      <c r="S13" s="6">
        <v>1</v>
      </c>
      <c r="T13" s="6">
        <v>1</v>
      </c>
      <c r="U13" s="6">
        <v>0</v>
      </c>
      <c r="V13" s="6">
        <v>0</v>
      </c>
    </row>
    <row r="14" spans="1:22">
      <c r="A14" s="4">
        <v>1.4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 s="6">
        <v>4</v>
      </c>
      <c r="O14" s="6" t="s">
        <v>563</v>
      </c>
      <c r="P14" s="6">
        <v>0</v>
      </c>
      <c r="Q14" s="6">
        <v>4</v>
      </c>
      <c r="R14" s="6">
        <v>1</v>
      </c>
      <c r="S14" s="6">
        <v>1</v>
      </c>
      <c r="T14" s="6">
        <v>1</v>
      </c>
      <c r="U14" s="6">
        <v>0</v>
      </c>
      <c r="V14" s="6">
        <v>0</v>
      </c>
    </row>
  </sheetData>
  <phoneticPr fontId="2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C4BEC-437E-4844-A0A0-B49E8F065C60}">
  <sheetPr codeName="Sheet4">
    <tabColor rgb="FF92D050"/>
  </sheetPr>
  <dimension ref="A1:T10"/>
  <sheetViews>
    <sheetView zoomScaleNormal="100" workbookViewId="0">
      <selection activeCell="D3" sqref="D3"/>
    </sheetView>
  </sheetViews>
  <sheetFormatPr baseColWidth="10" defaultColWidth="9" defaultRowHeight="15"/>
  <cols>
    <col min="1" max="15" width="9" style="6"/>
    <col min="16" max="16" width="30.1640625" style="6" customWidth="1"/>
    <col min="17" max="17" width="42.6640625" style="9" customWidth="1"/>
    <col min="18" max="16384" width="9" style="6"/>
  </cols>
  <sheetData>
    <row r="1" spans="1:20">
      <c r="A1" s="4" t="s">
        <v>81</v>
      </c>
      <c r="B1" s="5" t="s">
        <v>82</v>
      </c>
      <c r="C1" s="5" t="s">
        <v>83</v>
      </c>
      <c r="D1" s="5" t="s">
        <v>31</v>
      </c>
      <c r="E1" s="5" t="s">
        <v>33</v>
      </c>
      <c r="F1" s="5" t="s">
        <v>35</v>
      </c>
      <c r="G1" s="5" t="s">
        <v>84</v>
      </c>
      <c r="H1" s="5" t="s">
        <v>85</v>
      </c>
      <c r="I1" s="5" t="s">
        <v>86</v>
      </c>
      <c r="J1" s="5" t="s">
        <v>87</v>
      </c>
      <c r="N1" s="7" t="s">
        <v>88</v>
      </c>
      <c r="O1" s="7" t="s">
        <v>149</v>
      </c>
      <c r="P1" s="7" t="s">
        <v>165</v>
      </c>
      <c r="Q1" s="8" t="s">
        <v>166</v>
      </c>
    </row>
    <row r="2" spans="1:20">
      <c r="A2" s="4" t="s">
        <v>91</v>
      </c>
      <c r="B2" s="5" t="s">
        <v>92</v>
      </c>
      <c r="C2" s="5" t="s">
        <v>93</v>
      </c>
      <c r="D2" s="5" t="s">
        <v>94</v>
      </c>
      <c r="E2" s="5" t="s">
        <v>95</v>
      </c>
      <c r="F2" s="5" t="s">
        <v>96</v>
      </c>
      <c r="G2" s="5" t="s">
        <v>97</v>
      </c>
      <c r="H2" s="5" t="s">
        <v>98</v>
      </c>
      <c r="I2" s="5" t="s">
        <v>99</v>
      </c>
      <c r="J2" s="5" t="s">
        <v>100</v>
      </c>
      <c r="O2" s="7" t="s">
        <v>167</v>
      </c>
      <c r="P2" s="7" t="s">
        <v>168</v>
      </c>
      <c r="Q2" s="8" t="s">
        <v>169</v>
      </c>
      <c r="T2" s="6" t="s">
        <v>26</v>
      </c>
    </row>
    <row r="3" spans="1:20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O3" s="7">
        <f>IFERROR(IF(P3=P2,O2,O2+1),1)</f>
        <v>1</v>
      </c>
      <c r="P3" s="7" t="s">
        <v>170</v>
      </c>
      <c r="Q3" s="8">
        <v>0</v>
      </c>
      <c r="T3" s="6" t="s">
        <v>171</v>
      </c>
    </row>
    <row r="4" spans="1:20">
      <c r="A4" s="4">
        <v>1.2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O4" s="7">
        <f t="shared" ref="O4:O10" si="0">IFERROR(IF(P4=P3,O3,O3+1),1)</f>
        <v>2</v>
      </c>
      <c r="P4" s="6" t="s">
        <v>172</v>
      </c>
      <c r="Q4" s="9" t="s">
        <v>173</v>
      </c>
      <c r="T4" s="6" t="s">
        <v>174</v>
      </c>
    </row>
    <row r="5" spans="1:20">
      <c r="A5" s="4" t="s">
        <v>565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O5" s="7">
        <f t="shared" si="0"/>
        <v>3</v>
      </c>
      <c r="P5" s="7" t="s">
        <v>175</v>
      </c>
      <c r="Q5" s="8" t="s">
        <v>176</v>
      </c>
      <c r="T5" s="6" t="s">
        <v>177</v>
      </c>
    </row>
    <row r="6" spans="1:20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O6" s="7">
        <f t="shared" si="0"/>
        <v>4</v>
      </c>
      <c r="P6" s="7" t="s">
        <v>178</v>
      </c>
      <c r="Q6" s="9">
        <v>3</v>
      </c>
      <c r="T6" s="6" t="s">
        <v>179</v>
      </c>
    </row>
    <row r="7" spans="1:20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O7" s="7">
        <f t="shared" si="0"/>
        <v>5</v>
      </c>
      <c r="P7" s="7" t="s">
        <v>180</v>
      </c>
      <c r="Q7" s="8" t="s">
        <v>176</v>
      </c>
      <c r="T7" s="6" t="s">
        <v>181</v>
      </c>
    </row>
    <row r="8" spans="1:20">
      <c r="A8" s="4">
        <v>1.4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O8" s="7">
        <f t="shared" si="0"/>
        <v>6</v>
      </c>
      <c r="P8" s="7" t="s">
        <v>182</v>
      </c>
      <c r="Q8" s="9">
        <v>3</v>
      </c>
      <c r="T8" s="6" t="s">
        <v>183</v>
      </c>
    </row>
    <row r="9" spans="1:20">
      <c r="A9" s="4">
        <v>1.4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O9" s="7">
        <f t="shared" si="0"/>
        <v>7</v>
      </c>
      <c r="P9" s="7" t="s">
        <v>184</v>
      </c>
      <c r="Q9" s="9">
        <v>1</v>
      </c>
      <c r="T9" s="6" t="s">
        <v>185</v>
      </c>
    </row>
    <row r="10" spans="1:20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O10" s="7">
        <f t="shared" si="0"/>
        <v>8</v>
      </c>
      <c r="P10" s="7" t="s">
        <v>186</v>
      </c>
      <c r="Q10" s="9">
        <v>1</v>
      </c>
      <c r="T10" s="6" t="s">
        <v>187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A963C-001C-43E7-8D15-C13DA07D36B2}">
  <sheetPr codeName="Sheet10">
    <tabColor rgb="FF92D050"/>
  </sheetPr>
  <dimension ref="A1:Z53"/>
  <sheetViews>
    <sheetView zoomScale="85" zoomScaleNormal="85" workbookViewId="0">
      <selection activeCell="M13" sqref="M13"/>
    </sheetView>
  </sheetViews>
  <sheetFormatPr baseColWidth="10" defaultColWidth="9" defaultRowHeight="15"/>
  <cols>
    <col min="1" max="14" width="9" style="6"/>
    <col min="15" max="15" width="7.6640625" style="6" bestFit="1" customWidth="1"/>
    <col min="16" max="16" width="12.1640625" style="6" bestFit="1" customWidth="1"/>
    <col min="17" max="17" width="35.1640625" style="6" customWidth="1"/>
    <col min="18" max="18" width="14.33203125" style="6" bestFit="1" customWidth="1"/>
    <col min="19" max="19" width="10.1640625" style="6" bestFit="1" customWidth="1"/>
    <col min="20" max="20" width="9" style="6"/>
    <col min="21" max="21" width="13.6640625" style="6" bestFit="1" customWidth="1"/>
    <col min="22" max="22" width="19" style="6" bestFit="1" customWidth="1"/>
    <col min="23" max="25" width="14.33203125" style="6" bestFit="1" customWidth="1"/>
    <col min="26" max="26" width="10.1640625" style="6" bestFit="1" customWidth="1"/>
    <col min="27" max="16384" width="9" style="6"/>
  </cols>
  <sheetData>
    <row r="1" spans="1:26">
      <c r="M1" s="4" t="s">
        <v>439</v>
      </c>
      <c r="N1" s="4" t="s">
        <v>533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1.2</v>
      </c>
    </row>
    <row r="5" spans="1:26">
      <c r="A5" s="4" t="s">
        <v>81</v>
      </c>
      <c r="B5" s="5" t="s">
        <v>82</v>
      </c>
      <c r="C5" s="5" t="s">
        <v>83</v>
      </c>
      <c r="D5" s="5" t="s">
        <v>31</v>
      </c>
      <c r="E5" s="5" t="s">
        <v>33</v>
      </c>
      <c r="F5" s="5" t="s">
        <v>35</v>
      </c>
      <c r="G5" s="5" t="s">
        <v>84</v>
      </c>
      <c r="H5" s="5" t="s">
        <v>85</v>
      </c>
      <c r="I5" s="5" t="s">
        <v>86</v>
      </c>
      <c r="J5" s="5" t="s">
        <v>87</v>
      </c>
      <c r="N5" s="7" t="s">
        <v>88</v>
      </c>
      <c r="O5" s="7" t="s">
        <v>149</v>
      </c>
      <c r="P5" s="8" t="s">
        <v>150</v>
      </c>
      <c r="Q5" s="8" t="s">
        <v>151</v>
      </c>
      <c r="R5" s="7" t="s">
        <v>188</v>
      </c>
      <c r="S5" s="7" t="s">
        <v>189</v>
      </c>
      <c r="T5" s="7" t="s">
        <v>190</v>
      </c>
      <c r="U5" s="7" t="s">
        <v>191</v>
      </c>
      <c r="V5" s="8" t="s">
        <v>192</v>
      </c>
      <c r="W5" s="8" t="s">
        <v>193</v>
      </c>
      <c r="X5" s="7" t="s">
        <v>194</v>
      </c>
      <c r="Y5" s="7" t="s">
        <v>195</v>
      </c>
      <c r="Z5" s="7" t="s">
        <v>196</v>
      </c>
    </row>
    <row r="6" spans="1:26">
      <c r="A6" s="4" t="s">
        <v>91</v>
      </c>
      <c r="B6" s="5" t="s">
        <v>92</v>
      </c>
      <c r="C6" s="5" t="s">
        <v>93</v>
      </c>
      <c r="D6" s="5" t="s">
        <v>94</v>
      </c>
      <c r="E6" s="5" t="s">
        <v>95</v>
      </c>
      <c r="F6" s="5" t="s">
        <v>96</v>
      </c>
      <c r="G6" s="5" t="s">
        <v>97</v>
      </c>
      <c r="H6" s="5" t="s">
        <v>98</v>
      </c>
      <c r="I6" s="5" t="s">
        <v>99</v>
      </c>
      <c r="J6" s="5" t="s">
        <v>100</v>
      </c>
      <c r="O6" s="7" t="s">
        <v>197</v>
      </c>
      <c r="P6" s="8" t="s">
        <v>542</v>
      </c>
      <c r="Q6" s="8" t="s">
        <v>536</v>
      </c>
      <c r="R6" s="7" t="s">
        <v>543</v>
      </c>
      <c r="S6" s="7" t="s">
        <v>198</v>
      </c>
      <c r="T6" s="7" t="s">
        <v>199</v>
      </c>
      <c r="U6" s="7" t="s">
        <v>200</v>
      </c>
      <c r="V6" s="8" t="s">
        <v>201</v>
      </c>
      <c r="W6" s="8" t="s">
        <v>537</v>
      </c>
      <c r="X6" s="7" t="s">
        <v>538</v>
      </c>
      <c r="Y6" s="7" t="s">
        <v>539</v>
      </c>
      <c r="Z6" s="7" t="s">
        <v>540</v>
      </c>
    </row>
    <row r="7" spans="1:26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O7" s="40">
        <v>100000</v>
      </c>
      <c r="P7" s="40" t="s">
        <v>202</v>
      </c>
      <c r="Q7" s="40" t="s">
        <v>203</v>
      </c>
      <c r="R7" s="40">
        <f>O7</f>
        <v>100000</v>
      </c>
      <c r="S7" s="40">
        <v>4</v>
      </c>
      <c r="T7" s="40">
        <v>1</v>
      </c>
      <c r="U7" s="40" t="s">
        <v>204</v>
      </c>
      <c r="V7" s="40">
        <v>0</v>
      </c>
      <c r="W7" s="40">
        <v>0</v>
      </c>
      <c r="X7" s="40">
        <v>0</v>
      </c>
      <c r="Y7" s="40">
        <v>0</v>
      </c>
      <c r="Z7" s="40">
        <v>0</v>
      </c>
    </row>
    <row r="8" spans="1:26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O8" s="40">
        <v>100001</v>
      </c>
      <c r="P8" s="40" t="s">
        <v>205</v>
      </c>
      <c r="Q8" s="40" t="s">
        <v>206</v>
      </c>
      <c r="R8" s="40">
        <f>O8</f>
        <v>100001</v>
      </c>
      <c r="S8" s="40">
        <v>1</v>
      </c>
      <c r="T8" s="40">
        <v>1</v>
      </c>
      <c r="U8" s="40" t="s">
        <v>204</v>
      </c>
      <c r="V8" s="40">
        <v>0</v>
      </c>
      <c r="W8" s="40">
        <v>0</v>
      </c>
      <c r="X8" s="40">
        <v>0</v>
      </c>
      <c r="Y8" s="40">
        <v>0</v>
      </c>
      <c r="Z8" s="40">
        <v>0</v>
      </c>
    </row>
    <row r="9" spans="1:26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O9" s="40">
        <v>100002</v>
      </c>
      <c r="P9" s="40" t="s">
        <v>207</v>
      </c>
      <c r="Q9" s="40" t="s">
        <v>208</v>
      </c>
      <c r="R9" s="40">
        <f t="shared" ref="R9:R11" si="0">O9</f>
        <v>100002</v>
      </c>
      <c r="S9" s="40">
        <v>1</v>
      </c>
      <c r="T9" s="40">
        <v>1</v>
      </c>
      <c r="U9" s="40" t="s">
        <v>204</v>
      </c>
      <c r="V9" s="40">
        <v>0</v>
      </c>
      <c r="W9" s="40">
        <v>0</v>
      </c>
      <c r="X9" s="40">
        <v>0</v>
      </c>
      <c r="Y9" s="40">
        <v>0</v>
      </c>
      <c r="Z9" s="40">
        <v>0</v>
      </c>
    </row>
    <row r="10" spans="1:26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O10" s="40">
        <v>100003</v>
      </c>
      <c r="P10" s="40" t="s">
        <v>209</v>
      </c>
      <c r="Q10" s="40" t="s">
        <v>210</v>
      </c>
      <c r="R10" s="40">
        <f t="shared" si="0"/>
        <v>100003</v>
      </c>
      <c r="S10" s="40">
        <v>1</v>
      </c>
      <c r="T10" s="40">
        <v>1</v>
      </c>
      <c r="U10" s="40" t="s">
        <v>204</v>
      </c>
      <c r="V10" s="40">
        <v>0</v>
      </c>
      <c r="W10" s="40">
        <v>0</v>
      </c>
      <c r="X10" s="40">
        <v>0</v>
      </c>
      <c r="Y10" s="40">
        <v>0</v>
      </c>
      <c r="Z10" s="40">
        <v>0</v>
      </c>
    </row>
    <row r="11" spans="1:26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O11" s="40">
        <v>100004</v>
      </c>
      <c r="P11" s="40" t="s">
        <v>211</v>
      </c>
      <c r="Q11" s="40" t="s">
        <v>210</v>
      </c>
      <c r="R11" s="40">
        <f t="shared" si="0"/>
        <v>100004</v>
      </c>
      <c r="S11" s="40">
        <v>1</v>
      </c>
      <c r="T11" s="40">
        <v>1</v>
      </c>
      <c r="U11" s="40" t="s">
        <v>204</v>
      </c>
      <c r="V11" s="40">
        <v>0</v>
      </c>
      <c r="W11" s="40">
        <v>0</v>
      </c>
      <c r="X11" s="40">
        <v>0</v>
      </c>
      <c r="Y11" s="40">
        <v>0</v>
      </c>
      <c r="Z11" s="40">
        <v>0</v>
      </c>
    </row>
    <row r="12" spans="1:26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O12" s="41">
        <v>200000</v>
      </c>
      <c r="P12" s="41" t="s">
        <v>212</v>
      </c>
      <c r="Q12" s="41" t="str">
        <f>P12&amp;"的描述"</f>
        <v>燧石匕首的描述</v>
      </c>
      <c r="R12" s="41">
        <f t="shared" ref="R12:R52" si="1">O12</f>
        <v>200000</v>
      </c>
      <c r="S12" s="41">
        <v>1</v>
      </c>
      <c r="T12" s="41">
        <v>2</v>
      </c>
      <c r="U12" s="41" t="s">
        <v>204</v>
      </c>
      <c r="V12" s="41">
        <v>0</v>
      </c>
      <c r="W12" s="41">
        <v>0</v>
      </c>
      <c r="X12" s="41">
        <v>0</v>
      </c>
      <c r="Y12" s="41">
        <v>0</v>
      </c>
      <c r="Z12" s="41">
        <v>0</v>
      </c>
    </row>
    <row r="13" spans="1:26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O13" s="41">
        <v>200001</v>
      </c>
      <c r="P13" s="41" t="s">
        <v>213</v>
      </c>
      <c r="Q13" s="41" t="str">
        <f t="shared" ref="Q13:Q53" si="2">P13&amp;"的描述"</f>
        <v>木制弓的描述</v>
      </c>
      <c r="R13" s="41">
        <f t="shared" si="1"/>
        <v>200001</v>
      </c>
      <c r="S13" s="41">
        <v>1</v>
      </c>
      <c r="T13" s="41">
        <v>2</v>
      </c>
      <c r="U13" s="41" t="s">
        <v>204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</row>
    <row r="14" spans="1:26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O14" s="41">
        <v>200002</v>
      </c>
      <c r="P14" s="41" t="s">
        <v>214</v>
      </c>
      <c r="Q14" s="41" t="str">
        <f t="shared" si="2"/>
        <v>石斧的描述</v>
      </c>
      <c r="R14" s="41">
        <f t="shared" si="1"/>
        <v>200002</v>
      </c>
      <c r="S14" s="41">
        <v>1</v>
      </c>
      <c r="T14" s="41">
        <v>2</v>
      </c>
      <c r="U14" s="41" t="s">
        <v>204</v>
      </c>
      <c r="V14" s="41">
        <v>0</v>
      </c>
      <c r="W14" s="41">
        <v>0</v>
      </c>
      <c r="X14" s="41">
        <v>0</v>
      </c>
      <c r="Y14" s="41">
        <v>0</v>
      </c>
      <c r="Z14" s="41">
        <v>0</v>
      </c>
    </row>
    <row r="15" spans="1:26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O15" s="41">
        <v>200003</v>
      </c>
      <c r="P15" s="41" t="s">
        <v>215</v>
      </c>
      <c r="Q15" s="41" t="str">
        <f t="shared" si="2"/>
        <v>狩猎长矛的描述</v>
      </c>
      <c r="R15" s="41">
        <f t="shared" si="1"/>
        <v>200003</v>
      </c>
      <c r="S15" s="41">
        <v>1</v>
      </c>
      <c r="T15" s="41">
        <v>2</v>
      </c>
      <c r="U15" s="41" t="s">
        <v>204</v>
      </c>
      <c r="V15" s="41">
        <v>0</v>
      </c>
      <c r="W15" s="41">
        <v>0</v>
      </c>
      <c r="X15" s="41">
        <v>0</v>
      </c>
      <c r="Y15" s="41">
        <v>0</v>
      </c>
      <c r="Z15" s="41">
        <v>0</v>
      </c>
    </row>
    <row r="16" spans="1:26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O16" s="41">
        <v>200004</v>
      </c>
      <c r="P16" s="41" t="s">
        <v>216</v>
      </c>
      <c r="Q16" s="41" t="str">
        <f t="shared" si="2"/>
        <v>火把剑的描述</v>
      </c>
      <c r="R16" s="41">
        <f t="shared" si="1"/>
        <v>200004</v>
      </c>
      <c r="S16" s="41">
        <v>2</v>
      </c>
      <c r="T16" s="41">
        <v>2</v>
      </c>
      <c r="U16" s="41" t="s">
        <v>204</v>
      </c>
      <c r="V16" s="41">
        <v>0</v>
      </c>
      <c r="W16" s="41">
        <v>0</v>
      </c>
      <c r="X16" s="41">
        <v>0</v>
      </c>
      <c r="Y16" s="41">
        <v>0</v>
      </c>
      <c r="Z16" s="41">
        <v>0</v>
      </c>
    </row>
    <row r="17" spans="1:26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O17" s="41">
        <v>200005</v>
      </c>
      <c r="P17" s="41" t="s">
        <v>217</v>
      </c>
      <c r="Q17" s="41" t="str">
        <f t="shared" si="2"/>
        <v>骨弩的描述</v>
      </c>
      <c r="R17" s="41">
        <f t="shared" si="1"/>
        <v>200005</v>
      </c>
      <c r="S17" s="41">
        <v>2</v>
      </c>
      <c r="T17" s="41">
        <v>2</v>
      </c>
      <c r="U17" s="41" t="s">
        <v>204</v>
      </c>
      <c r="V17" s="41">
        <v>0</v>
      </c>
      <c r="W17" s="41">
        <v>0</v>
      </c>
      <c r="X17" s="41">
        <v>0</v>
      </c>
      <c r="Y17" s="41">
        <v>0</v>
      </c>
      <c r="Z17" s="41">
        <v>0</v>
      </c>
    </row>
    <row r="18" spans="1:26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O18" s="41">
        <v>200006</v>
      </c>
      <c r="P18" s="41" t="s">
        <v>218</v>
      </c>
      <c r="Q18" s="41" t="str">
        <f t="shared" si="2"/>
        <v>硬木盾牌的描述</v>
      </c>
      <c r="R18" s="41">
        <f t="shared" si="1"/>
        <v>200006</v>
      </c>
      <c r="S18" s="41">
        <v>2</v>
      </c>
      <c r="T18" s="41">
        <v>2</v>
      </c>
      <c r="U18" s="41" t="s">
        <v>204</v>
      </c>
      <c r="V18" s="41">
        <v>0</v>
      </c>
      <c r="W18" s="41">
        <v>0</v>
      </c>
      <c r="X18" s="41">
        <v>0</v>
      </c>
      <c r="Y18" s="41">
        <v>0</v>
      </c>
      <c r="Z18" s="41">
        <v>0</v>
      </c>
    </row>
    <row r="19" spans="1:26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O19" s="41">
        <v>200007</v>
      </c>
      <c r="P19" s="41" t="s">
        <v>219</v>
      </c>
      <c r="Q19" s="41" t="str">
        <f t="shared" si="2"/>
        <v>石制战锤的描述</v>
      </c>
      <c r="R19" s="41">
        <f t="shared" si="1"/>
        <v>200007</v>
      </c>
      <c r="S19" s="41">
        <v>2</v>
      </c>
      <c r="T19" s="41">
        <v>2</v>
      </c>
      <c r="U19" s="41" t="s">
        <v>204</v>
      </c>
      <c r="V19" s="41">
        <v>0</v>
      </c>
      <c r="W19" s="41">
        <v>0</v>
      </c>
      <c r="X19" s="41">
        <v>0</v>
      </c>
      <c r="Y19" s="41">
        <v>0</v>
      </c>
      <c r="Z19" s="41">
        <v>0</v>
      </c>
    </row>
    <row r="20" spans="1:26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O20" s="41">
        <v>200008</v>
      </c>
      <c r="P20" s="41" t="s">
        <v>220</v>
      </c>
      <c r="Q20" s="41" t="str">
        <f t="shared" si="2"/>
        <v>毒刺之矛的描述</v>
      </c>
      <c r="R20" s="41">
        <f t="shared" si="1"/>
        <v>200008</v>
      </c>
      <c r="S20" s="41">
        <v>3</v>
      </c>
      <c r="T20" s="41">
        <v>2</v>
      </c>
      <c r="U20" s="41" t="s">
        <v>204</v>
      </c>
      <c r="V20" s="41">
        <v>0</v>
      </c>
      <c r="W20" s="41">
        <v>0</v>
      </c>
      <c r="X20" s="41">
        <v>0</v>
      </c>
      <c r="Y20" s="41">
        <v>0</v>
      </c>
      <c r="Z20" s="41">
        <v>0</v>
      </c>
    </row>
    <row r="21" spans="1:26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O21" s="41">
        <v>200009</v>
      </c>
      <c r="P21" s="41" t="s">
        <v>221</v>
      </c>
      <c r="Q21" s="41" t="str">
        <f t="shared" si="2"/>
        <v>火焰手里剑的描述</v>
      </c>
      <c r="R21" s="41">
        <f t="shared" si="1"/>
        <v>200009</v>
      </c>
      <c r="S21" s="41">
        <v>3</v>
      </c>
      <c r="T21" s="41">
        <v>2</v>
      </c>
      <c r="U21" s="41" t="s">
        <v>204</v>
      </c>
      <c r="V21" s="41">
        <v>0</v>
      </c>
      <c r="W21" s="41">
        <v>0</v>
      </c>
      <c r="X21" s="41">
        <v>0</v>
      </c>
      <c r="Y21" s="41">
        <v>0</v>
      </c>
      <c r="Z21" s="41">
        <v>0</v>
      </c>
    </row>
    <row r="22" spans="1:26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O22" s="41">
        <v>200010</v>
      </c>
      <c r="P22" s="41" t="s">
        <v>222</v>
      </c>
      <c r="Q22" s="41" t="str">
        <f t="shared" si="2"/>
        <v>角斗士长剑的描述</v>
      </c>
      <c r="R22" s="41">
        <f t="shared" si="1"/>
        <v>200010</v>
      </c>
      <c r="S22" s="41">
        <v>3</v>
      </c>
      <c r="T22" s="41">
        <v>2</v>
      </c>
      <c r="U22" s="41" t="s">
        <v>204</v>
      </c>
      <c r="V22" s="41">
        <v>0</v>
      </c>
      <c r="W22" s="41">
        <v>0</v>
      </c>
      <c r="X22" s="41">
        <v>0</v>
      </c>
      <c r="Y22" s="41">
        <v>0</v>
      </c>
      <c r="Z22" s="41">
        <v>0</v>
      </c>
    </row>
    <row r="23" spans="1:26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O23" s="41">
        <v>200011</v>
      </c>
      <c r="P23" s="41" t="s">
        <v>223</v>
      </c>
      <c r="Q23" s="41" t="str">
        <f t="shared" si="2"/>
        <v>鹰眼弓的描述</v>
      </c>
      <c r="R23" s="41">
        <f t="shared" si="1"/>
        <v>200011</v>
      </c>
      <c r="S23" s="41">
        <v>3</v>
      </c>
      <c r="T23" s="41">
        <v>2</v>
      </c>
      <c r="U23" s="41" t="s">
        <v>204</v>
      </c>
      <c r="V23" s="41">
        <v>0</v>
      </c>
      <c r="W23" s="41">
        <v>0</v>
      </c>
      <c r="X23" s="41">
        <v>0</v>
      </c>
      <c r="Y23" s="41">
        <v>0</v>
      </c>
      <c r="Z23" s="41">
        <v>0</v>
      </c>
    </row>
    <row r="24" spans="1:26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O24" s="41">
        <v>200012</v>
      </c>
      <c r="P24" s="41" t="s">
        <v>224</v>
      </c>
      <c r="Q24" s="41" t="str">
        <f t="shared" si="2"/>
        <v>熊皮护甲的描述</v>
      </c>
      <c r="R24" s="41">
        <f t="shared" si="1"/>
        <v>200012</v>
      </c>
      <c r="S24" s="41">
        <v>4</v>
      </c>
      <c r="T24" s="41">
        <v>2</v>
      </c>
      <c r="U24" s="41" t="s">
        <v>204</v>
      </c>
      <c r="V24" s="41">
        <v>0</v>
      </c>
      <c r="W24" s="41">
        <v>0</v>
      </c>
      <c r="X24" s="41">
        <v>0</v>
      </c>
      <c r="Y24" s="41">
        <v>0</v>
      </c>
      <c r="Z24" s="41">
        <v>0</v>
      </c>
    </row>
    <row r="25" spans="1:26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O25" s="41">
        <v>200013</v>
      </c>
      <c r="P25" s="41" t="s">
        <v>225</v>
      </c>
      <c r="Q25" s="41" t="str">
        <f t="shared" si="2"/>
        <v>魔法法杖的描述</v>
      </c>
      <c r="R25" s="41">
        <f t="shared" si="1"/>
        <v>200013</v>
      </c>
      <c r="S25" s="41">
        <v>4</v>
      </c>
      <c r="T25" s="41">
        <v>2</v>
      </c>
      <c r="U25" s="41" t="s">
        <v>204</v>
      </c>
      <c r="V25" s="41">
        <v>0</v>
      </c>
      <c r="W25" s="41">
        <v>0</v>
      </c>
      <c r="X25" s="41">
        <v>0</v>
      </c>
      <c r="Y25" s="41">
        <v>0</v>
      </c>
      <c r="Z25" s="41">
        <v>0</v>
      </c>
    </row>
    <row r="26" spans="1:26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O26" s="41">
        <v>200014</v>
      </c>
      <c r="P26" s="41" t="s">
        <v>226</v>
      </c>
      <c r="Q26" s="41" t="str">
        <f t="shared" si="2"/>
        <v>黑曜石利刃的描述</v>
      </c>
      <c r="R26" s="41">
        <f t="shared" si="1"/>
        <v>200014</v>
      </c>
      <c r="S26" s="41">
        <v>4</v>
      </c>
      <c r="T26" s="41">
        <v>2</v>
      </c>
      <c r="U26" s="41" t="s">
        <v>204</v>
      </c>
      <c r="V26" s="41">
        <v>0</v>
      </c>
      <c r="W26" s="41">
        <v>0</v>
      </c>
      <c r="X26" s="41">
        <v>0</v>
      </c>
      <c r="Y26" s="41">
        <v>0</v>
      </c>
      <c r="Z26" s="41">
        <v>0</v>
      </c>
    </row>
    <row r="27" spans="1:26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O27" s="41">
        <v>200015</v>
      </c>
      <c r="P27" s="41" t="s">
        <v>227</v>
      </c>
      <c r="Q27" s="41" t="str">
        <f t="shared" si="2"/>
        <v>猛虎爪套的描述</v>
      </c>
      <c r="R27" s="41">
        <f t="shared" si="1"/>
        <v>200015</v>
      </c>
      <c r="S27" s="41">
        <v>4</v>
      </c>
      <c r="T27" s="41">
        <v>2</v>
      </c>
      <c r="U27" s="41" t="s">
        <v>204</v>
      </c>
      <c r="V27" s="41">
        <v>0</v>
      </c>
      <c r="W27" s="41">
        <v>0</v>
      </c>
      <c r="X27" s="41">
        <v>0</v>
      </c>
      <c r="Y27" s="41">
        <v>0</v>
      </c>
      <c r="Z27" s="41">
        <v>0</v>
      </c>
    </row>
    <row r="28" spans="1:26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O28" s="41">
        <v>200016</v>
      </c>
      <c r="P28" s="41" t="s">
        <v>228</v>
      </c>
      <c r="Q28" s="41" t="str">
        <f t="shared" si="2"/>
        <v>铁质战斧的描述</v>
      </c>
      <c r="R28" s="41">
        <f t="shared" si="1"/>
        <v>200016</v>
      </c>
      <c r="S28" s="41">
        <v>5</v>
      </c>
      <c r="T28" s="41">
        <v>2</v>
      </c>
      <c r="U28" s="41" t="s">
        <v>204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</row>
    <row r="29" spans="1:26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O29" s="41">
        <v>200017</v>
      </c>
      <c r="P29" s="41" t="s">
        <v>229</v>
      </c>
      <c r="Q29" s="41" t="str">
        <f t="shared" si="2"/>
        <v>神圣之锤的描述</v>
      </c>
      <c r="R29" s="41">
        <f t="shared" si="1"/>
        <v>200017</v>
      </c>
      <c r="S29" s="41">
        <v>5</v>
      </c>
      <c r="T29" s="41">
        <v>2</v>
      </c>
      <c r="U29" s="41" t="s">
        <v>204</v>
      </c>
      <c r="V29" s="41">
        <v>0</v>
      </c>
      <c r="W29" s="41">
        <v>0</v>
      </c>
      <c r="X29" s="41">
        <v>0</v>
      </c>
      <c r="Y29" s="41">
        <v>0</v>
      </c>
      <c r="Z29" s="41">
        <v>0</v>
      </c>
    </row>
    <row r="30" spans="1:26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O30" s="41">
        <v>200018</v>
      </c>
      <c r="P30" s="41" t="s">
        <v>230</v>
      </c>
      <c r="Q30" s="41" t="str">
        <f t="shared" si="2"/>
        <v>彩虹长弓的描述</v>
      </c>
      <c r="R30" s="41">
        <f t="shared" si="1"/>
        <v>200018</v>
      </c>
      <c r="S30" s="41">
        <v>5</v>
      </c>
      <c r="T30" s="41">
        <v>2</v>
      </c>
      <c r="U30" s="41" t="s">
        <v>204</v>
      </c>
      <c r="V30" s="41">
        <v>0</v>
      </c>
      <c r="W30" s="41">
        <v>0</v>
      </c>
      <c r="X30" s="41">
        <v>0</v>
      </c>
      <c r="Y30" s="41">
        <v>0</v>
      </c>
      <c r="Z30" s="41">
        <v>0</v>
      </c>
    </row>
    <row r="31" spans="1:26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O31" s="41">
        <v>200019</v>
      </c>
      <c r="P31" s="41" t="s">
        <v>231</v>
      </c>
      <c r="Q31" s="41" t="str">
        <f t="shared" si="2"/>
        <v>龙鳞盾牌的描述</v>
      </c>
      <c r="R31" s="41">
        <f t="shared" si="1"/>
        <v>200019</v>
      </c>
      <c r="S31" s="41">
        <v>5</v>
      </c>
      <c r="T31" s="41">
        <v>3</v>
      </c>
      <c r="U31" s="41" t="s">
        <v>204</v>
      </c>
      <c r="V31" s="41">
        <v>0</v>
      </c>
      <c r="W31" s="41">
        <v>0</v>
      </c>
      <c r="X31" s="41">
        <v>0</v>
      </c>
      <c r="Y31" s="41">
        <v>0</v>
      </c>
      <c r="Z31" s="41">
        <v>0</v>
      </c>
    </row>
    <row r="32" spans="1:26">
      <c r="A32" s="4">
        <v>1.5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O32" s="42">
        <v>300000</v>
      </c>
      <c r="P32" s="42" t="s">
        <v>232</v>
      </c>
      <c r="Q32" s="42" t="str">
        <f t="shared" si="2"/>
        <v>皮革护腕的描述</v>
      </c>
      <c r="R32" s="42">
        <f t="shared" si="1"/>
        <v>300000</v>
      </c>
      <c r="S32" s="42">
        <v>1</v>
      </c>
      <c r="T32" s="42">
        <v>3</v>
      </c>
      <c r="U32" s="42" t="s">
        <v>204</v>
      </c>
      <c r="V32" s="42">
        <v>0</v>
      </c>
      <c r="W32" s="42">
        <v>0</v>
      </c>
      <c r="X32" s="42">
        <v>0</v>
      </c>
      <c r="Y32" s="42">
        <v>0</v>
      </c>
      <c r="Z32" s="42">
        <v>0</v>
      </c>
    </row>
    <row r="33" spans="1:26">
      <c r="A33" s="4">
        <v>1.5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O33" s="42">
        <v>300001</v>
      </c>
      <c r="P33" s="42" t="s">
        <v>233</v>
      </c>
      <c r="Q33" s="42" t="str">
        <f t="shared" si="2"/>
        <v>草编头盔的描述</v>
      </c>
      <c r="R33" s="42">
        <f t="shared" si="1"/>
        <v>300001</v>
      </c>
      <c r="S33" s="42">
        <v>1</v>
      </c>
      <c r="T33" s="42">
        <v>3</v>
      </c>
      <c r="U33" s="42" t="s">
        <v>204</v>
      </c>
      <c r="V33" s="42">
        <v>0</v>
      </c>
      <c r="W33" s="42">
        <v>0</v>
      </c>
      <c r="X33" s="42">
        <v>0</v>
      </c>
      <c r="Y33" s="42">
        <v>0</v>
      </c>
      <c r="Z33" s="42">
        <v>0</v>
      </c>
    </row>
    <row r="34" spans="1:26">
      <c r="A34" s="4">
        <v>1.5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O34" s="42">
        <v>300002</v>
      </c>
      <c r="P34" s="42" t="s">
        <v>234</v>
      </c>
      <c r="Q34" s="42" t="str">
        <f t="shared" si="2"/>
        <v>兽皮披风的描述</v>
      </c>
      <c r="R34" s="42">
        <f t="shared" si="1"/>
        <v>300002</v>
      </c>
      <c r="S34" s="42">
        <v>1</v>
      </c>
      <c r="T34" s="42">
        <v>3</v>
      </c>
      <c r="U34" s="42" t="s">
        <v>204</v>
      </c>
      <c r="V34" s="42">
        <v>0</v>
      </c>
      <c r="W34" s="42">
        <v>0</v>
      </c>
      <c r="X34" s="42">
        <v>0</v>
      </c>
      <c r="Y34" s="42">
        <v>0</v>
      </c>
      <c r="Z34" s="42">
        <v>0</v>
      </c>
    </row>
    <row r="35" spans="1:26">
      <c r="A35" s="4">
        <v>1.5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O35" s="42">
        <v>300003</v>
      </c>
      <c r="P35" s="42" t="s">
        <v>235</v>
      </c>
      <c r="Q35" s="42" t="str">
        <f t="shared" si="2"/>
        <v>麻布长袍的描述</v>
      </c>
      <c r="R35" s="42">
        <f t="shared" si="1"/>
        <v>300003</v>
      </c>
      <c r="S35" s="42">
        <v>1</v>
      </c>
      <c r="T35" s="42">
        <v>3</v>
      </c>
      <c r="U35" s="42" t="s">
        <v>204</v>
      </c>
      <c r="V35" s="42">
        <v>0</v>
      </c>
      <c r="W35" s="42">
        <v>0</v>
      </c>
      <c r="X35" s="42">
        <v>0</v>
      </c>
      <c r="Y35" s="42">
        <v>0</v>
      </c>
      <c r="Z35" s="42">
        <v>0</v>
      </c>
    </row>
    <row r="36" spans="1:26">
      <c r="A36" s="4">
        <v>1.5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O36" s="42">
        <v>300004</v>
      </c>
      <c r="P36" s="42" t="s">
        <v>236</v>
      </c>
      <c r="Q36" s="42" t="str">
        <f t="shared" si="2"/>
        <v>石块胸甲的描述</v>
      </c>
      <c r="R36" s="42">
        <f t="shared" si="1"/>
        <v>300004</v>
      </c>
      <c r="S36" s="42">
        <v>2</v>
      </c>
      <c r="T36" s="42">
        <v>3</v>
      </c>
      <c r="U36" s="42" t="s">
        <v>204</v>
      </c>
      <c r="V36" s="42">
        <v>0</v>
      </c>
      <c r="W36" s="42">
        <v>0</v>
      </c>
      <c r="X36" s="42">
        <v>0</v>
      </c>
      <c r="Y36" s="42">
        <v>0</v>
      </c>
      <c r="Z36" s="42">
        <v>0</v>
      </c>
    </row>
    <row r="37" spans="1:26">
      <c r="A37" s="4" t="s">
        <v>545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O37" s="42">
        <v>300005</v>
      </c>
      <c r="P37" s="42" t="s">
        <v>237</v>
      </c>
      <c r="Q37" s="42" t="str">
        <f t="shared" si="2"/>
        <v>兽骨护腿的描述</v>
      </c>
      <c r="R37" s="42">
        <f t="shared" si="1"/>
        <v>300005</v>
      </c>
      <c r="S37" s="42">
        <v>2</v>
      </c>
      <c r="T37" s="42">
        <v>3</v>
      </c>
      <c r="U37" s="42" t="s">
        <v>204</v>
      </c>
      <c r="V37" s="42">
        <v>0</v>
      </c>
      <c r="W37" s="42">
        <v>0</v>
      </c>
      <c r="X37" s="42">
        <v>0</v>
      </c>
      <c r="Y37" s="42">
        <v>0</v>
      </c>
      <c r="Z37" s="42">
        <v>0</v>
      </c>
    </row>
    <row r="38" spans="1:26">
      <c r="A38" s="4" t="s">
        <v>545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O38" s="42">
        <v>300006</v>
      </c>
      <c r="P38" s="42" t="s">
        <v>238</v>
      </c>
      <c r="Q38" s="42" t="str">
        <f t="shared" si="2"/>
        <v>熊皮护肩的描述</v>
      </c>
      <c r="R38" s="42">
        <f t="shared" si="1"/>
        <v>300006</v>
      </c>
      <c r="S38" s="42">
        <v>2</v>
      </c>
      <c r="T38" s="42">
        <v>3</v>
      </c>
      <c r="U38" s="42" t="s">
        <v>204</v>
      </c>
      <c r="V38" s="42">
        <v>0</v>
      </c>
      <c r="W38" s="42">
        <v>0</v>
      </c>
      <c r="X38" s="42">
        <v>0</v>
      </c>
      <c r="Y38" s="42">
        <v>0</v>
      </c>
      <c r="Z38" s="42">
        <v>0</v>
      </c>
    </row>
    <row r="39" spans="1:26">
      <c r="A39" s="4">
        <v>2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O39" s="42">
        <v>300007</v>
      </c>
      <c r="P39" s="42" t="s">
        <v>239</v>
      </c>
      <c r="Q39" s="42" t="str">
        <f t="shared" si="2"/>
        <v>藤蔓腰带的描述</v>
      </c>
      <c r="R39" s="42">
        <f t="shared" si="1"/>
        <v>300007</v>
      </c>
      <c r="S39" s="42">
        <v>2</v>
      </c>
      <c r="T39" s="42">
        <v>3</v>
      </c>
      <c r="U39" s="42" t="s">
        <v>204</v>
      </c>
      <c r="V39" s="42">
        <v>0</v>
      </c>
      <c r="W39" s="42">
        <v>0</v>
      </c>
      <c r="X39" s="42">
        <v>0</v>
      </c>
      <c r="Y39" s="42">
        <v>0</v>
      </c>
      <c r="Z39" s="42">
        <v>0</v>
      </c>
    </row>
    <row r="40" spans="1:26">
      <c r="A40" s="4">
        <v>2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O40" s="42">
        <v>300008</v>
      </c>
      <c r="P40" s="42" t="s">
        <v>240</v>
      </c>
      <c r="Q40" s="42" t="str">
        <f t="shared" si="2"/>
        <v>羽毛护胸的描述</v>
      </c>
      <c r="R40" s="42">
        <f t="shared" si="1"/>
        <v>300008</v>
      </c>
      <c r="S40" s="42">
        <v>3</v>
      </c>
      <c r="T40" s="42">
        <v>3</v>
      </c>
      <c r="U40" s="42" t="s">
        <v>204</v>
      </c>
      <c r="V40" s="42">
        <v>0</v>
      </c>
      <c r="W40" s="42">
        <v>0</v>
      </c>
      <c r="X40" s="42">
        <v>0</v>
      </c>
      <c r="Y40" s="42">
        <v>0</v>
      </c>
      <c r="Z40" s="42">
        <v>0</v>
      </c>
    </row>
    <row r="41" spans="1:26">
      <c r="A41" s="4">
        <v>2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O41" s="42">
        <v>300009</v>
      </c>
      <c r="P41" s="42" t="s">
        <v>241</v>
      </c>
      <c r="Q41" s="42" t="str">
        <f t="shared" si="2"/>
        <v>野兽面具的描述</v>
      </c>
      <c r="R41" s="42">
        <f t="shared" si="1"/>
        <v>300009</v>
      </c>
      <c r="S41" s="42">
        <v>3</v>
      </c>
      <c r="T41" s="42">
        <v>3</v>
      </c>
      <c r="U41" s="42" t="s">
        <v>204</v>
      </c>
      <c r="V41" s="42">
        <v>0</v>
      </c>
      <c r="W41" s="42">
        <v>0</v>
      </c>
      <c r="X41" s="42">
        <v>0</v>
      </c>
      <c r="Y41" s="42">
        <v>0</v>
      </c>
      <c r="Z41" s="42">
        <v>0</v>
      </c>
    </row>
    <row r="42" spans="1:26">
      <c r="A42" s="4">
        <v>2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O42" s="42">
        <v>300010</v>
      </c>
      <c r="P42" s="42" t="s">
        <v>242</v>
      </c>
      <c r="Q42" s="42" t="str">
        <f t="shared" si="2"/>
        <v>火焰披风的描述</v>
      </c>
      <c r="R42" s="42">
        <f t="shared" si="1"/>
        <v>300010</v>
      </c>
      <c r="S42" s="42">
        <v>3</v>
      </c>
      <c r="T42" s="42">
        <v>3</v>
      </c>
      <c r="U42" s="42" t="s">
        <v>204</v>
      </c>
      <c r="V42" s="42">
        <v>0</v>
      </c>
      <c r="W42" s="42">
        <v>0</v>
      </c>
      <c r="X42" s="42">
        <v>0</v>
      </c>
      <c r="Y42" s="42">
        <v>0</v>
      </c>
      <c r="Z42" s="42">
        <v>0</v>
      </c>
    </row>
    <row r="43" spans="1:26">
      <c r="A43" s="4">
        <v>2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O43" s="42">
        <v>300011</v>
      </c>
      <c r="P43" s="42" t="s">
        <v>243</v>
      </c>
      <c r="Q43" s="42" t="str">
        <f t="shared" si="2"/>
        <v>龙皮手套的描述</v>
      </c>
      <c r="R43" s="42">
        <f t="shared" si="1"/>
        <v>300011</v>
      </c>
      <c r="S43" s="42">
        <v>3</v>
      </c>
      <c r="T43" s="42">
        <v>3</v>
      </c>
      <c r="U43" s="42" t="s">
        <v>204</v>
      </c>
      <c r="V43" s="42">
        <v>0</v>
      </c>
      <c r="W43" s="42">
        <v>0</v>
      </c>
      <c r="X43" s="42">
        <v>0</v>
      </c>
      <c r="Y43" s="42">
        <v>0</v>
      </c>
      <c r="Z43" s="42">
        <v>0</v>
      </c>
    </row>
    <row r="44" spans="1:26">
      <c r="A44" s="4">
        <v>2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O44" s="42">
        <v>300012</v>
      </c>
      <c r="P44" s="42" t="s">
        <v>244</v>
      </c>
      <c r="Q44" s="42" t="str">
        <f t="shared" si="2"/>
        <v>丝绸长袍的描述</v>
      </c>
      <c r="R44" s="42">
        <f t="shared" si="1"/>
        <v>300012</v>
      </c>
      <c r="S44" s="42">
        <v>4</v>
      </c>
      <c r="T44" s="42">
        <v>3</v>
      </c>
      <c r="U44" s="42" t="s">
        <v>204</v>
      </c>
      <c r="V44" s="42">
        <v>0</v>
      </c>
      <c r="W44" s="42">
        <v>0</v>
      </c>
      <c r="X44" s="42">
        <v>0</v>
      </c>
      <c r="Y44" s="42">
        <v>0</v>
      </c>
      <c r="Z44" s="42">
        <v>0</v>
      </c>
    </row>
    <row r="45" spans="1:26">
      <c r="A45" s="4">
        <v>2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O45" s="42">
        <v>300013</v>
      </c>
      <c r="P45" s="42" t="s">
        <v>245</v>
      </c>
      <c r="Q45" s="42" t="str">
        <f t="shared" si="2"/>
        <v>钢铁胸甲的描述</v>
      </c>
      <c r="R45" s="42">
        <f t="shared" si="1"/>
        <v>300013</v>
      </c>
      <c r="S45" s="42">
        <v>4</v>
      </c>
      <c r="T45" s="42">
        <v>3</v>
      </c>
      <c r="U45" s="42" t="s">
        <v>204</v>
      </c>
      <c r="V45" s="42">
        <v>0</v>
      </c>
      <c r="W45" s="42">
        <v>0</v>
      </c>
      <c r="X45" s="42">
        <v>0</v>
      </c>
      <c r="Y45" s="42">
        <v>0</v>
      </c>
      <c r="Z45" s="42">
        <v>0</v>
      </c>
    </row>
    <row r="46" spans="1:26">
      <c r="A46" s="4">
        <v>2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O46" s="42">
        <v>300014</v>
      </c>
      <c r="P46" s="42" t="s">
        <v>246</v>
      </c>
      <c r="Q46" s="42" t="str">
        <f t="shared" si="2"/>
        <v>能量护腕的描述</v>
      </c>
      <c r="R46" s="42">
        <f t="shared" si="1"/>
        <v>300014</v>
      </c>
      <c r="S46" s="42">
        <v>4</v>
      </c>
      <c r="T46" s="42">
        <v>3</v>
      </c>
      <c r="U46" s="42" t="s">
        <v>204</v>
      </c>
      <c r="V46" s="42">
        <v>0</v>
      </c>
      <c r="W46" s="42">
        <v>0</v>
      </c>
      <c r="X46" s="42">
        <v>0</v>
      </c>
      <c r="Y46" s="42">
        <v>0</v>
      </c>
      <c r="Z46" s="42">
        <v>0</v>
      </c>
    </row>
    <row r="47" spans="1:26">
      <c r="A47" s="4">
        <v>2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O47" s="42">
        <v>300015</v>
      </c>
      <c r="P47" s="42" t="s">
        <v>247</v>
      </c>
      <c r="Q47" s="42" t="str">
        <f t="shared" si="2"/>
        <v>水晶头冠的描述</v>
      </c>
      <c r="R47" s="42">
        <f t="shared" si="1"/>
        <v>300015</v>
      </c>
      <c r="S47" s="42">
        <v>4</v>
      </c>
      <c r="T47" s="42">
        <v>3</v>
      </c>
      <c r="U47" s="42" t="s">
        <v>204</v>
      </c>
      <c r="V47" s="42">
        <v>0</v>
      </c>
      <c r="W47" s="42">
        <v>0</v>
      </c>
      <c r="X47" s="42">
        <v>0</v>
      </c>
      <c r="Y47" s="42">
        <v>0</v>
      </c>
      <c r="Z47" s="42">
        <v>0</v>
      </c>
    </row>
    <row r="48" spans="1:26">
      <c r="A48" s="4">
        <v>2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O48" s="42">
        <v>300016</v>
      </c>
      <c r="P48" s="42" t="s">
        <v>248</v>
      </c>
      <c r="Q48" s="42" t="str">
        <f t="shared" si="2"/>
        <v>飞行斗篷的描述</v>
      </c>
      <c r="R48" s="42">
        <f t="shared" si="1"/>
        <v>300016</v>
      </c>
      <c r="S48" s="42">
        <v>5</v>
      </c>
      <c r="T48" s="42">
        <v>3</v>
      </c>
      <c r="U48" s="42" t="s">
        <v>204</v>
      </c>
      <c r="V48" s="42">
        <v>0</v>
      </c>
      <c r="W48" s="42">
        <v>0</v>
      </c>
      <c r="X48" s="42">
        <v>0</v>
      </c>
      <c r="Y48" s="42">
        <v>0</v>
      </c>
      <c r="Z48" s="42">
        <v>0</v>
      </c>
    </row>
    <row r="49" spans="1:26">
      <c r="A49" s="4">
        <v>2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O49" s="42">
        <v>300017</v>
      </c>
      <c r="P49" s="42" t="s">
        <v>249</v>
      </c>
      <c r="Q49" s="42" t="str">
        <f t="shared" si="2"/>
        <v>光明护盾的描述</v>
      </c>
      <c r="R49" s="42">
        <f t="shared" si="1"/>
        <v>300017</v>
      </c>
      <c r="S49" s="42">
        <v>5</v>
      </c>
      <c r="T49" s="42">
        <v>3</v>
      </c>
      <c r="U49" s="42" t="s">
        <v>204</v>
      </c>
      <c r="V49" s="42">
        <v>0</v>
      </c>
      <c r="W49" s="42">
        <v>0</v>
      </c>
      <c r="X49" s="42">
        <v>0</v>
      </c>
      <c r="Y49" s="42">
        <v>0</v>
      </c>
      <c r="Z49" s="42">
        <v>0</v>
      </c>
    </row>
    <row r="50" spans="1:26">
      <c r="A50" s="4">
        <v>2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O50" s="42">
        <v>300018</v>
      </c>
      <c r="P50" s="42" t="s">
        <v>250</v>
      </c>
      <c r="Q50" s="42" t="str">
        <f t="shared" si="2"/>
        <v>岩石护腰的描述</v>
      </c>
      <c r="R50" s="42">
        <f t="shared" si="1"/>
        <v>300018</v>
      </c>
      <c r="S50" s="42">
        <v>5</v>
      </c>
      <c r="T50" s="42">
        <v>3</v>
      </c>
      <c r="U50" s="42" t="s">
        <v>204</v>
      </c>
      <c r="V50" s="42">
        <v>0</v>
      </c>
      <c r="W50" s="42">
        <v>0</v>
      </c>
      <c r="X50" s="42">
        <v>0</v>
      </c>
      <c r="Y50" s="42">
        <v>0</v>
      </c>
      <c r="Z50" s="42">
        <v>0</v>
      </c>
    </row>
    <row r="51" spans="1:26">
      <c r="A51" s="4">
        <v>2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O51" s="42">
        <v>300019</v>
      </c>
      <c r="P51" s="42" t="s">
        <v>251</v>
      </c>
      <c r="Q51" s="42" t="str">
        <f t="shared" si="2"/>
        <v>彩虹战袍的描述</v>
      </c>
      <c r="R51" s="42">
        <f t="shared" si="1"/>
        <v>300019</v>
      </c>
      <c r="S51" s="42">
        <v>5</v>
      </c>
      <c r="T51" s="42">
        <v>3</v>
      </c>
      <c r="U51" s="42" t="s">
        <v>204</v>
      </c>
      <c r="V51" s="42">
        <v>0</v>
      </c>
      <c r="W51" s="42">
        <v>0</v>
      </c>
      <c r="X51" s="42">
        <v>0</v>
      </c>
      <c r="Y51" s="42">
        <v>0</v>
      </c>
      <c r="Z51" s="42">
        <v>0</v>
      </c>
    </row>
    <row r="52" spans="1:26">
      <c r="A52" s="4">
        <v>2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O52" s="43">
        <v>500000</v>
      </c>
      <c r="P52" s="43" t="s">
        <v>252</v>
      </c>
      <c r="Q52" s="43" t="str">
        <f t="shared" si="2"/>
        <v>发光的宝箱的描述</v>
      </c>
      <c r="R52" s="43">
        <f t="shared" si="1"/>
        <v>500000</v>
      </c>
      <c r="S52" s="43">
        <v>3</v>
      </c>
      <c r="T52" s="43">
        <v>5</v>
      </c>
      <c r="U52" s="43" t="s">
        <v>204</v>
      </c>
      <c r="V52" s="43">
        <v>0</v>
      </c>
      <c r="W52" s="43">
        <v>0</v>
      </c>
      <c r="X52" s="43">
        <v>0</v>
      </c>
      <c r="Y52" s="43">
        <v>1</v>
      </c>
      <c r="Z52" s="43">
        <v>0</v>
      </c>
    </row>
    <row r="53" spans="1:26">
      <c r="A53" s="4">
        <v>2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O53" s="43">
        <v>500001</v>
      </c>
      <c r="P53" s="43" t="s">
        <v>253</v>
      </c>
      <c r="Q53" s="43" t="str">
        <f t="shared" si="2"/>
        <v>生锈的宝箱的描述</v>
      </c>
      <c r="R53" s="43">
        <f t="shared" ref="R53" si="3">O53</f>
        <v>500001</v>
      </c>
      <c r="S53" s="43">
        <v>2</v>
      </c>
      <c r="T53" s="43">
        <v>5</v>
      </c>
      <c r="U53" s="43" t="s">
        <v>204</v>
      </c>
      <c r="V53" s="43">
        <v>0</v>
      </c>
      <c r="W53" s="43">
        <v>0</v>
      </c>
      <c r="X53" s="43">
        <v>0</v>
      </c>
      <c r="Y53" s="43">
        <v>1</v>
      </c>
      <c r="Z53" s="43">
        <v>0</v>
      </c>
    </row>
  </sheetData>
  <phoneticPr fontId="2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30B03-F363-4DEC-A198-DF27F0623BCF}">
  <sheetPr codeName="Sheet18">
    <tabColor rgb="FF92D050"/>
  </sheetPr>
  <dimension ref="A1:U8"/>
  <sheetViews>
    <sheetView workbookViewId="0">
      <selection activeCell="M10" sqref="M10"/>
    </sheetView>
  </sheetViews>
  <sheetFormatPr baseColWidth="10" defaultColWidth="8.83203125" defaultRowHeight="15"/>
  <cols>
    <col min="17" max="19" width="11.6640625" customWidth="1"/>
    <col min="20" max="20" width="11" customWidth="1"/>
    <col min="21" max="21" width="10.1640625" customWidth="1"/>
  </cols>
  <sheetData>
    <row r="1" spans="1:21">
      <c r="A1" s="4" t="s">
        <v>81</v>
      </c>
      <c r="B1" s="5" t="s">
        <v>82</v>
      </c>
      <c r="C1" s="5" t="s">
        <v>83</v>
      </c>
      <c r="D1" s="5" t="s">
        <v>31</v>
      </c>
      <c r="E1" s="5" t="s">
        <v>33</v>
      </c>
      <c r="F1" s="5" t="s">
        <v>35</v>
      </c>
      <c r="G1" s="5" t="s">
        <v>84</v>
      </c>
      <c r="H1" s="5" t="s">
        <v>85</v>
      </c>
      <c r="I1" s="5" t="s">
        <v>86</v>
      </c>
      <c r="J1" s="5" t="s">
        <v>87</v>
      </c>
      <c r="M1" t="s">
        <v>88</v>
      </c>
      <c r="N1" t="s">
        <v>149</v>
      </c>
      <c r="O1" t="s">
        <v>254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</row>
    <row r="2" spans="1:21">
      <c r="A2" s="4" t="s">
        <v>91</v>
      </c>
      <c r="B2" s="5" t="s">
        <v>92</v>
      </c>
      <c r="C2" s="5" t="s">
        <v>93</v>
      </c>
      <c r="D2" s="5" t="s">
        <v>94</v>
      </c>
      <c r="E2" s="5" t="s">
        <v>95</v>
      </c>
      <c r="F2" s="5" t="s">
        <v>96</v>
      </c>
      <c r="G2" s="5" t="s">
        <v>97</v>
      </c>
      <c r="H2" s="5" t="s">
        <v>98</v>
      </c>
      <c r="I2" s="5" t="s">
        <v>99</v>
      </c>
      <c r="J2" s="5" t="s">
        <v>100</v>
      </c>
      <c r="N2" t="s">
        <v>261</v>
      </c>
      <c r="O2" t="s">
        <v>262</v>
      </c>
      <c r="P2" t="s">
        <v>263</v>
      </c>
      <c r="Q2" t="s">
        <v>264</v>
      </c>
      <c r="R2" t="s">
        <v>265</v>
      </c>
      <c r="S2" t="s">
        <v>266</v>
      </c>
      <c r="T2" t="s">
        <v>267</v>
      </c>
      <c r="U2" t="s">
        <v>268</v>
      </c>
    </row>
    <row r="3" spans="1:21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IFERROR(N2+1,10000)</f>
        <v>10000</v>
      </c>
      <c r="O3">
        <v>500000</v>
      </c>
      <c r="P3">
        <v>100002</v>
      </c>
      <c r="Q3">
        <v>100</v>
      </c>
      <c r="R3">
        <v>200</v>
      </c>
      <c r="S3">
        <v>1</v>
      </c>
      <c r="T3">
        <v>1000</v>
      </c>
      <c r="U3">
        <v>0</v>
      </c>
    </row>
    <row r="4" spans="1:21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8" si="0">IFERROR(N3+1,10000)</f>
        <v>10001</v>
      </c>
      <c r="O4">
        <v>500000</v>
      </c>
      <c r="P4">
        <v>100003</v>
      </c>
      <c r="Q4">
        <v>100</v>
      </c>
      <c r="R4">
        <v>200</v>
      </c>
      <c r="S4">
        <v>1</v>
      </c>
      <c r="T4">
        <v>1000</v>
      </c>
      <c r="U4">
        <v>0</v>
      </c>
    </row>
    <row r="5" spans="1:21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10002</v>
      </c>
      <c r="O5">
        <v>500000</v>
      </c>
      <c r="P5">
        <v>100004</v>
      </c>
      <c r="Q5">
        <v>100</v>
      </c>
      <c r="R5">
        <v>200</v>
      </c>
      <c r="S5">
        <v>1</v>
      </c>
      <c r="T5">
        <v>1000</v>
      </c>
      <c r="U5">
        <v>0</v>
      </c>
    </row>
    <row r="6" spans="1:21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10003</v>
      </c>
      <c r="O6">
        <v>500001</v>
      </c>
      <c r="P6">
        <v>100002</v>
      </c>
      <c r="Q6">
        <v>100</v>
      </c>
      <c r="R6">
        <v>200</v>
      </c>
      <c r="S6">
        <v>1</v>
      </c>
      <c r="T6">
        <v>1</v>
      </c>
      <c r="U6">
        <v>0</v>
      </c>
    </row>
    <row r="7" spans="1:21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10004</v>
      </c>
      <c r="O7">
        <v>500001</v>
      </c>
      <c r="P7">
        <v>100003</v>
      </c>
      <c r="Q7">
        <v>100</v>
      </c>
      <c r="R7">
        <v>200</v>
      </c>
      <c r="S7">
        <v>2</v>
      </c>
      <c r="T7">
        <v>1</v>
      </c>
      <c r="U7">
        <v>0</v>
      </c>
    </row>
    <row r="8" spans="1:21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10005</v>
      </c>
      <c r="O8">
        <v>500001</v>
      </c>
      <c r="P8">
        <v>100004</v>
      </c>
      <c r="Q8">
        <v>100</v>
      </c>
      <c r="R8">
        <v>200</v>
      </c>
      <c r="S8">
        <v>3</v>
      </c>
      <c r="T8">
        <v>1</v>
      </c>
      <c r="U8">
        <v>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4A58-7894-4E94-BB2B-351F07A51BF6}">
  <sheetPr codeName="Sheet11">
    <tabColor rgb="FF92D050"/>
  </sheetPr>
  <dimension ref="A1:U32"/>
  <sheetViews>
    <sheetView workbookViewId="0">
      <selection activeCell="N39" sqref="N39"/>
    </sheetView>
  </sheetViews>
  <sheetFormatPr baseColWidth="10" defaultColWidth="8.83203125" defaultRowHeight="15"/>
  <cols>
    <col min="16" max="16" width="10.1640625" customWidth="1"/>
    <col min="17" max="17" width="11.33203125" customWidth="1"/>
    <col min="18" max="18" width="11.6640625" customWidth="1"/>
    <col min="19" max="19" width="13.1640625" customWidth="1"/>
    <col min="20" max="20" width="10.6640625" customWidth="1"/>
  </cols>
  <sheetData>
    <row r="1" spans="1:21">
      <c r="A1" s="4" t="s">
        <v>81</v>
      </c>
      <c r="B1" s="5" t="s">
        <v>82</v>
      </c>
      <c r="C1" s="5" t="s">
        <v>83</v>
      </c>
      <c r="D1" s="5" t="s">
        <v>31</v>
      </c>
      <c r="E1" s="5" t="s">
        <v>33</v>
      </c>
      <c r="F1" s="5" t="s">
        <v>35</v>
      </c>
      <c r="G1" s="5" t="s">
        <v>84</v>
      </c>
      <c r="H1" s="5" t="s">
        <v>85</v>
      </c>
      <c r="I1" s="5" t="s">
        <v>86</v>
      </c>
      <c r="J1" s="5" t="s">
        <v>87</v>
      </c>
      <c r="M1" s="7" t="s">
        <v>88</v>
      </c>
      <c r="N1" s="7" t="s">
        <v>149</v>
      </c>
      <c r="O1" s="7" t="s">
        <v>269</v>
      </c>
      <c r="P1" t="s">
        <v>270</v>
      </c>
      <c r="Q1" t="s">
        <v>271</v>
      </c>
      <c r="R1" t="s">
        <v>272</v>
      </c>
      <c r="S1" t="s">
        <v>273</v>
      </c>
      <c r="T1" s="7" t="s">
        <v>274</v>
      </c>
      <c r="U1" t="s">
        <v>275</v>
      </c>
    </row>
    <row r="2" spans="1:21">
      <c r="A2" s="4" t="s">
        <v>91</v>
      </c>
      <c r="B2" s="5" t="s">
        <v>92</v>
      </c>
      <c r="C2" s="5" t="s">
        <v>93</v>
      </c>
      <c r="D2" s="5" t="s">
        <v>94</v>
      </c>
      <c r="E2" s="5" t="s">
        <v>95</v>
      </c>
      <c r="F2" s="5" t="s">
        <v>96</v>
      </c>
      <c r="G2" s="5" t="s">
        <v>97</v>
      </c>
      <c r="H2" s="5" t="s">
        <v>98</v>
      </c>
      <c r="I2" s="5" t="s">
        <v>99</v>
      </c>
      <c r="J2" s="5" t="s">
        <v>100</v>
      </c>
      <c r="M2" s="6"/>
      <c r="N2" s="7" t="s">
        <v>167</v>
      </c>
      <c r="O2" s="7" t="s">
        <v>276</v>
      </c>
      <c r="P2" t="s">
        <v>277</v>
      </c>
      <c r="Q2" t="s">
        <v>278</v>
      </c>
      <c r="R2" t="s">
        <v>279</v>
      </c>
      <c r="S2" t="s">
        <v>280</v>
      </c>
      <c r="T2" s="7" t="s">
        <v>281</v>
      </c>
      <c r="U2" t="s">
        <v>282</v>
      </c>
    </row>
    <row r="3" spans="1:21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IFERROR(N2+1,1000)</f>
        <v>1000</v>
      </c>
      <c r="O3">
        <v>1</v>
      </c>
      <c r="P3">
        <v>50</v>
      </c>
      <c r="Q3">
        <v>1</v>
      </c>
      <c r="R3">
        <v>1</v>
      </c>
      <c r="S3">
        <v>1</v>
      </c>
      <c r="T3">
        <v>1</v>
      </c>
      <c r="U3">
        <v>1000</v>
      </c>
    </row>
    <row r="4" spans="1:21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32" si="0">IFERROR(N3+1,1000)</f>
        <v>1001</v>
      </c>
      <c r="O4">
        <v>2</v>
      </c>
      <c r="P4">
        <v>100</v>
      </c>
      <c r="Q4">
        <v>1</v>
      </c>
      <c r="R4">
        <v>1</v>
      </c>
      <c r="S4">
        <v>1</v>
      </c>
      <c r="T4">
        <v>1</v>
      </c>
      <c r="U4">
        <v>1200</v>
      </c>
    </row>
    <row r="5" spans="1:21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1002</v>
      </c>
      <c r="O5">
        <v>3</v>
      </c>
      <c r="P5">
        <v>150</v>
      </c>
      <c r="Q5">
        <v>1</v>
      </c>
      <c r="R5">
        <v>1</v>
      </c>
      <c r="S5">
        <v>2</v>
      </c>
      <c r="T5">
        <v>1</v>
      </c>
      <c r="U5">
        <v>1400</v>
      </c>
    </row>
    <row r="6" spans="1:21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1003</v>
      </c>
      <c r="O6">
        <v>4</v>
      </c>
      <c r="P6">
        <v>200</v>
      </c>
      <c r="Q6">
        <v>1</v>
      </c>
      <c r="R6">
        <v>1</v>
      </c>
      <c r="S6">
        <v>2</v>
      </c>
      <c r="T6">
        <v>2</v>
      </c>
      <c r="U6">
        <v>1600</v>
      </c>
    </row>
    <row r="7" spans="1:21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1004</v>
      </c>
      <c r="O7">
        <v>5</v>
      </c>
      <c r="P7">
        <v>250</v>
      </c>
      <c r="Q7">
        <v>1</v>
      </c>
      <c r="R7">
        <v>1</v>
      </c>
      <c r="S7">
        <v>3</v>
      </c>
      <c r="T7">
        <v>2</v>
      </c>
      <c r="U7">
        <v>1800</v>
      </c>
    </row>
    <row r="8" spans="1:21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1005</v>
      </c>
      <c r="O8">
        <v>6</v>
      </c>
      <c r="P8">
        <v>300</v>
      </c>
      <c r="Q8">
        <v>1</v>
      </c>
      <c r="R8">
        <v>1</v>
      </c>
      <c r="S8">
        <v>3</v>
      </c>
      <c r="T8">
        <v>2</v>
      </c>
      <c r="U8">
        <v>2000</v>
      </c>
    </row>
    <row r="9" spans="1:21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>
        <f t="shared" si="0"/>
        <v>1006</v>
      </c>
      <c r="O9">
        <v>7</v>
      </c>
      <c r="P9">
        <v>350</v>
      </c>
      <c r="Q9">
        <v>1</v>
      </c>
      <c r="R9">
        <v>1</v>
      </c>
      <c r="S9">
        <v>4</v>
      </c>
      <c r="T9">
        <v>3</v>
      </c>
      <c r="U9">
        <v>2200</v>
      </c>
    </row>
    <row r="10" spans="1:21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>
        <f t="shared" si="0"/>
        <v>1007</v>
      </c>
      <c r="O10">
        <v>8</v>
      </c>
      <c r="P10">
        <v>400</v>
      </c>
      <c r="Q10">
        <v>1</v>
      </c>
      <c r="R10">
        <v>1</v>
      </c>
      <c r="S10">
        <v>4</v>
      </c>
      <c r="T10">
        <v>3</v>
      </c>
      <c r="U10">
        <v>2400</v>
      </c>
    </row>
    <row r="11" spans="1:21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>
        <f t="shared" si="0"/>
        <v>1008</v>
      </c>
      <c r="O11">
        <v>9</v>
      </c>
      <c r="P11">
        <v>450</v>
      </c>
      <c r="Q11">
        <v>1</v>
      </c>
      <c r="R11">
        <v>1</v>
      </c>
      <c r="S11">
        <v>5</v>
      </c>
      <c r="T11">
        <v>3</v>
      </c>
      <c r="U11">
        <v>2600</v>
      </c>
    </row>
    <row r="12" spans="1:21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>
        <f t="shared" si="0"/>
        <v>1009</v>
      </c>
      <c r="O12">
        <v>10</v>
      </c>
      <c r="P12">
        <v>500</v>
      </c>
      <c r="Q12">
        <v>1</v>
      </c>
      <c r="R12">
        <v>1</v>
      </c>
      <c r="S12">
        <v>5</v>
      </c>
      <c r="T12">
        <v>3</v>
      </c>
      <c r="U12">
        <v>2800</v>
      </c>
    </row>
    <row r="13" spans="1:21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>
        <f t="shared" si="0"/>
        <v>1010</v>
      </c>
      <c r="O13">
        <v>1</v>
      </c>
      <c r="P13">
        <v>50</v>
      </c>
      <c r="Q13">
        <v>2</v>
      </c>
      <c r="R13">
        <v>1</v>
      </c>
      <c r="S13">
        <v>1</v>
      </c>
      <c r="T13">
        <v>1</v>
      </c>
      <c r="U13">
        <v>1000</v>
      </c>
    </row>
    <row r="14" spans="1:21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>
        <f t="shared" si="0"/>
        <v>1011</v>
      </c>
      <c r="O14">
        <v>2</v>
      </c>
      <c r="P14">
        <v>100</v>
      </c>
      <c r="Q14">
        <v>2</v>
      </c>
      <c r="R14">
        <v>1</v>
      </c>
      <c r="S14">
        <v>1</v>
      </c>
      <c r="T14">
        <v>1</v>
      </c>
      <c r="U14">
        <v>1200</v>
      </c>
    </row>
    <row r="15" spans="1:21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>
        <f t="shared" si="0"/>
        <v>1012</v>
      </c>
      <c r="O15">
        <v>3</v>
      </c>
      <c r="P15">
        <v>150</v>
      </c>
      <c r="Q15">
        <v>2</v>
      </c>
      <c r="R15">
        <v>1</v>
      </c>
      <c r="S15">
        <v>2</v>
      </c>
      <c r="T15">
        <v>1</v>
      </c>
      <c r="U15">
        <v>1400</v>
      </c>
    </row>
    <row r="16" spans="1:21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>
        <f t="shared" si="0"/>
        <v>1013</v>
      </c>
      <c r="O16">
        <v>4</v>
      </c>
      <c r="P16">
        <v>200</v>
      </c>
      <c r="Q16">
        <v>2</v>
      </c>
      <c r="R16">
        <v>1</v>
      </c>
      <c r="S16">
        <v>2</v>
      </c>
      <c r="T16">
        <v>2</v>
      </c>
      <c r="U16">
        <v>1600</v>
      </c>
    </row>
    <row r="17" spans="1:21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>
        <f t="shared" si="0"/>
        <v>1014</v>
      </c>
      <c r="O17">
        <v>5</v>
      </c>
      <c r="P17">
        <v>250</v>
      </c>
      <c r="Q17">
        <v>2</v>
      </c>
      <c r="R17">
        <v>1</v>
      </c>
      <c r="S17">
        <v>3</v>
      </c>
      <c r="T17">
        <v>2</v>
      </c>
      <c r="U17">
        <v>1800</v>
      </c>
    </row>
    <row r="18" spans="1:21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>
        <f t="shared" si="0"/>
        <v>1015</v>
      </c>
      <c r="O18">
        <v>6</v>
      </c>
      <c r="P18">
        <v>300</v>
      </c>
      <c r="Q18">
        <v>2</v>
      </c>
      <c r="R18">
        <v>1</v>
      </c>
      <c r="S18">
        <v>3</v>
      </c>
      <c r="T18">
        <v>2</v>
      </c>
      <c r="U18">
        <v>2000</v>
      </c>
    </row>
    <row r="19" spans="1:21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>
        <f t="shared" si="0"/>
        <v>1016</v>
      </c>
      <c r="O19">
        <v>7</v>
      </c>
      <c r="P19">
        <v>350</v>
      </c>
      <c r="Q19">
        <v>2</v>
      </c>
      <c r="R19">
        <v>1</v>
      </c>
      <c r="S19">
        <v>4</v>
      </c>
      <c r="T19">
        <v>3</v>
      </c>
      <c r="U19">
        <v>2200</v>
      </c>
    </row>
    <row r="20" spans="1:21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>
        <f t="shared" si="0"/>
        <v>1017</v>
      </c>
      <c r="O20">
        <v>8</v>
      </c>
      <c r="P20">
        <v>400</v>
      </c>
      <c r="Q20">
        <v>2</v>
      </c>
      <c r="R20">
        <v>1</v>
      </c>
      <c r="S20">
        <v>4</v>
      </c>
      <c r="T20">
        <v>3</v>
      </c>
      <c r="U20">
        <v>2400</v>
      </c>
    </row>
    <row r="21" spans="1:21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>
        <f t="shared" si="0"/>
        <v>1018</v>
      </c>
      <c r="O21">
        <v>9</v>
      </c>
      <c r="P21">
        <v>450</v>
      </c>
      <c r="Q21">
        <v>2</v>
      </c>
      <c r="R21">
        <v>1</v>
      </c>
      <c r="S21">
        <v>5</v>
      </c>
      <c r="T21">
        <v>3</v>
      </c>
      <c r="U21">
        <v>2600</v>
      </c>
    </row>
    <row r="22" spans="1:21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>
        <f t="shared" si="0"/>
        <v>1019</v>
      </c>
      <c r="O22">
        <v>10</v>
      </c>
      <c r="P22">
        <v>500</v>
      </c>
      <c r="Q22">
        <v>2</v>
      </c>
      <c r="R22">
        <v>1</v>
      </c>
      <c r="S22">
        <v>5</v>
      </c>
      <c r="T22">
        <v>3</v>
      </c>
      <c r="U22">
        <v>2800</v>
      </c>
    </row>
    <row r="23" spans="1:21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>
        <f t="shared" si="0"/>
        <v>1020</v>
      </c>
      <c r="O23">
        <v>1</v>
      </c>
      <c r="P23">
        <v>50</v>
      </c>
      <c r="Q23">
        <v>3</v>
      </c>
      <c r="R23">
        <v>1</v>
      </c>
      <c r="S23">
        <v>6</v>
      </c>
      <c r="T23">
        <v>1</v>
      </c>
      <c r="U23">
        <v>1000</v>
      </c>
    </row>
    <row r="24" spans="1:21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>
        <f t="shared" si="0"/>
        <v>1021</v>
      </c>
      <c r="O24">
        <v>2</v>
      </c>
      <c r="P24">
        <v>100</v>
      </c>
      <c r="Q24">
        <v>3</v>
      </c>
      <c r="R24">
        <v>1</v>
      </c>
      <c r="S24">
        <v>6</v>
      </c>
      <c r="T24">
        <v>1</v>
      </c>
      <c r="U24">
        <v>1000</v>
      </c>
    </row>
    <row r="25" spans="1:21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>
        <f t="shared" si="0"/>
        <v>1022</v>
      </c>
      <c r="O25">
        <v>3</v>
      </c>
      <c r="P25">
        <v>150</v>
      </c>
      <c r="Q25">
        <v>3</v>
      </c>
      <c r="R25">
        <v>1</v>
      </c>
      <c r="S25">
        <v>6</v>
      </c>
      <c r="T25">
        <v>1</v>
      </c>
      <c r="U25">
        <v>1000</v>
      </c>
    </row>
    <row r="26" spans="1:21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N26">
        <f t="shared" si="0"/>
        <v>1023</v>
      </c>
      <c r="O26">
        <v>4</v>
      </c>
      <c r="P26">
        <v>200</v>
      </c>
      <c r="Q26">
        <v>3</v>
      </c>
      <c r="R26">
        <v>1</v>
      </c>
      <c r="S26">
        <v>6</v>
      </c>
      <c r="T26">
        <v>2</v>
      </c>
      <c r="U26">
        <v>1000</v>
      </c>
    </row>
    <row r="27" spans="1:21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N27">
        <f t="shared" si="0"/>
        <v>1024</v>
      </c>
      <c r="O27">
        <v>5</v>
      </c>
      <c r="P27">
        <v>250</v>
      </c>
      <c r="Q27">
        <v>3</v>
      </c>
      <c r="R27">
        <v>1</v>
      </c>
      <c r="S27">
        <v>6</v>
      </c>
      <c r="T27">
        <v>2</v>
      </c>
      <c r="U27">
        <v>1000</v>
      </c>
    </row>
    <row r="28" spans="1:21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N28">
        <f t="shared" si="0"/>
        <v>1025</v>
      </c>
      <c r="O28">
        <v>6</v>
      </c>
      <c r="P28">
        <v>300</v>
      </c>
      <c r="Q28">
        <v>3</v>
      </c>
      <c r="R28">
        <v>1</v>
      </c>
      <c r="S28">
        <v>6</v>
      </c>
      <c r="T28">
        <v>2</v>
      </c>
      <c r="U28">
        <v>1000</v>
      </c>
    </row>
    <row r="29" spans="1:21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N29">
        <f t="shared" si="0"/>
        <v>1026</v>
      </c>
      <c r="O29">
        <v>7</v>
      </c>
      <c r="P29">
        <v>350</v>
      </c>
      <c r="Q29">
        <v>3</v>
      </c>
      <c r="R29">
        <v>1</v>
      </c>
      <c r="S29">
        <v>6</v>
      </c>
      <c r="T29">
        <v>3</v>
      </c>
      <c r="U29">
        <v>1000</v>
      </c>
    </row>
    <row r="30" spans="1:21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N30">
        <f t="shared" si="0"/>
        <v>1027</v>
      </c>
      <c r="O30">
        <v>8</v>
      </c>
      <c r="P30">
        <v>400</v>
      </c>
      <c r="Q30">
        <v>3</v>
      </c>
      <c r="R30">
        <v>1</v>
      </c>
      <c r="S30">
        <v>6</v>
      </c>
      <c r="T30">
        <v>3</v>
      </c>
      <c r="U30">
        <v>1000</v>
      </c>
    </row>
    <row r="31" spans="1:21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N31">
        <f t="shared" si="0"/>
        <v>1028</v>
      </c>
      <c r="O31">
        <v>9</v>
      </c>
      <c r="P31">
        <v>450</v>
      </c>
      <c r="Q31">
        <v>3</v>
      </c>
      <c r="R31">
        <v>1</v>
      </c>
      <c r="S31">
        <v>6</v>
      </c>
      <c r="T31">
        <v>3</v>
      </c>
      <c r="U31">
        <v>1000</v>
      </c>
    </row>
    <row r="32" spans="1:21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N32">
        <f t="shared" si="0"/>
        <v>1029</v>
      </c>
      <c r="O32">
        <v>10</v>
      </c>
      <c r="P32">
        <v>500</v>
      </c>
      <c r="Q32">
        <v>3</v>
      </c>
      <c r="R32">
        <v>1</v>
      </c>
      <c r="S32">
        <v>6</v>
      </c>
      <c r="T32">
        <v>3</v>
      </c>
      <c r="U32">
        <v>1000</v>
      </c>
    </row>
  </sheetData>
  <phoneticPr fontId="2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0125-28DD-42E4-AF92-68D90169F9D7}">
  <sheetPr codeName="Sheet12">
    <tabColor rgb="FF92D050"/>
  </sheetPr>
  <dimension ref="A1:Y42"/>
  <sheetViews>
    <sheetView workbookViewId="0">
      <selection activeCell="M33" sqref="M33"/>
    </sheetView>
  </sheetViews>
  <sheetFormatPr baseColWidth="10" defaultColWidth="8.83203125" defaultRowHeight="15"/>
  <cols>
    <col min="14" max="14" width="10" customWidth="1"/>
    <col min="17" max="17" width="15.33203125" customWidth="1"/>
    <col min="18" max="18" width="16.1640625" bestFit="1" customWidth="1"/>
    <col min="19" max="19" width="15.6640625" customWidth="1"/>
    <col min="20" max="20" width="13.33203125" customWidth="1"/>
    <col min="21" max="21" width="12" customWidth="1"/>
    <col min="22" max="22" width="12.33203125" customWidth="1"/>
  </cols>
  <sheetData>
    <row r="1" spans="1:25">
      <c r="A1" s="4" t="s">
        <v>81</v>
      </c>
      <c r="B1" s="5" t="s">
        <v>82</v>
      </c>
      <c r="C1" s="5" t="s">
        <v>83</v>
      </c>
      <c r="D1" s="5" t="s">
        <v>31</v>
      </c>
      <c r="E1" s="5" t="s">
        <v>33</v>
      </c>
      <c r="F1" s="5" t="s">
        <v>35</v>
      </c>
      <c r="G1" s="5" t="s">
        <v>84</v>
      </c>
      <c r="H1" s="5" t="s">
        <v>85</v>
      </c>
      <c r="I1" s="5" t="s">
        <v>86</v>
      </c>
      <c r="J1" s="5" t="s">
        <v>87</v>
      </c>
      <c r="N1" s="7" t="s">
        <v>88</v>
      </c>
      <c r="O1" s="7" t="s">
        <v>149</v>
      </c>
      <c r="P1" t="s">
        <v>283</v>
      </c>
      <c r="Q1" t="s">
        <v>284</v>
      </c>
      <c r="R1" t="s">
        <v>285</v>
      </c>
      <c r="S1" t="s">
        <v>286</v>
      </c>
      <c r="T1" t="s">
        <v>272</v>
      </c>
      <c r="U1" t="s">
        <v>273</v>
      </c>
      <c r="V1" t="s">
        <v>287</v>
      </c>
    </row>
    <row r="2" spans="1:25">
      <c r="A2" s="4" t="s">
        <v>91</v>
      </c>
      <c r="B2" s="5" t="s">
        <v>92</v>
      </c>
      <c r="C2" s="5" t="s">
        <v>93</v>
      </c>
      <c r="D2" s="5" t="s">
        <v>94</v>
      </c>
      <c r="E2" s="5" t="s">
        <v>95</v>
      </c>
      <c r="F2" s="5" t="s">
        <v>96</v>
      </c>
      <c r="G2" s="5" t="s">
        <v>97</v>
      </c>
      <c r="H2" s="5" t="s">
        <v>98</v>
      </c>
      <c r="I2" s="5" t="s">
        <v>99</v>
      </c>
      <c r="J2" s="5" t="s">
        <v>100</v>
      </c>
      <c r="N2" s="6"/>
      <c r="O2" s="7" t="s">
        <v>288</v>
      </c>
      <c r="P2" t="s">
        <v>289</v>
      </c>
      <c r="Q2" t="s">
        <v>278</v>
      </c>
      <c r="R2" t="s">
        <v>290</v>
      </c>
      <c r="S2" t="s">
        <v>291</v>
      </c>
      <c r="T2" t="s">
        <v>279</v>
      </c>
      <c r="U2" t="s">
        <v>280</v>
      </c>
      <c r="V2" t="s">
        <v>292</v>
      </c>
      <c r="Y2" t="s">
        <v>293</v>
      </c>
    </row>
    <row r="3" spans="1:25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O3">
        <v>200000</v>
      </c>
      <c r="P3">
        <v>1</v>
      </c>
      <c r="Q3">
        <v>1</v>
      </c>
      <c r="R3">
        <v>200</v>
      </c>
      <c r="S3">
        <f>R3*2</f>
        <v>400</v>
      </c>
      <c r="T3">
        <v>3</v>
      </c>
      <c r="U3">
        <v>8</v>
      </c>
      <c r="V3" t="s">
        <v>294</v>
      </c>
      <c r="Y3" s="6" t="s">
        <v>212</v>
      </c>
    </row>
    <row r="4" spans="1:25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O4">
        <v>200001</v>
      </c>
      <c r="P4">
        <v>2</v>
      </c>
      <c r="Q4">
        <v>1</v>
      </c>
      <c r="R4">
        <f>R3*1.5</f>
        <v>300</v>
      </c>
      <c r="S4">
        <f t="shared" ref="S4:S22" si="0">R4*2</f>
        <v>600</v>
      </c>
      <c r="T4">
        <v>3</v>
      </c>
      <c r="U4">
        <v>8</v>
      </c>
      <c r="V4" t="s">
        <v>295</v>
      </c>
      <c r="Y4" s="6" t="s">
        <v>213</v>
      </c>
    </row>
    <row r="5" spans="1:25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O5">
        <v>200002</v>
      </c>
      <c r="P5">
        <v>3</v>
      </c>
      <c r="Q5">
        <v>1</v>
      </c>
      <c r="R5">
        <f t="shared" ref="R5:R22" si="1">R4*2</f>
        <v>600</v>
      </c>
      <c r="S5">
        <f t="shared" si="0"/>
        <v>1200</v>
      </c>
      <c r="T5">
        <v>3</v>
      </c>
      <c r="U5">
        <v>8</v>
      </c>
      <c r="V5" t="s">
        <v>296</v>
      </c>
      <c r="Y5" s="6" t="s">
        <v>214</v>
      </c>
    </row>
    <row r="6" spans="1:25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O6">
        <v>200003</v>
      </c>
      <c r="P6">
        <v>4</v>
      </c>
      <c r="Q6">
        <v>1</v>
      </c>
      <c r="R6">
        <f t="shared" si="1"/>
        <v>1200</v>
      </c>
      <c r="S6">
        <f t="shared" si="0"/>
        <v>2400</v>
      </c>
      <c r="T6">
        <v>3</v>
      </c>
      <c r="U6">
        <v>8</v>
      </c>
      <c r="V6" t="s">
        <v>297</v>
      </c>
      <c r="Y6" s="6" t="s">
        <v>215</v>
      </c>
    </row>
    <row r="7" spans="1:25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O7">
        <v>200004</v>
      </c>
      <c r="P7">
        <v>1</v>
      </c>
      <c r="Q7">
        <v>1</v>
      </c>
      <c r="R7">
        <f t="shared" si="1"/>
        <v>2400</v>
      </c>
      <c r="S7">
        <f t="shared" si="0"/>
        <v>4800</v>
      </c>
      <c r="T7">
        <v>3</v>
      </c>
      <c r="U7">
        <v>8</v>
      </c>
      <c r="V7" t="s">
        <v>298</v>
      </c>
      <c r="Y7" s="6" t="s">
        <v>216</v>
      </c>
    </row>
    <row r="8" spans="1:25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O8">
        <v>200005</v>
      </c>
      <c r="P8">
        <v>2</v>
      </c>
      <c r="Q8">
        <v>1</v>
      </c>
      <c r="R8">
        <f t="shared" si="1"/>
        <v>4800</v>
      </c>
      <c r="S8">
        <f t="shared" si="0"/>
        <v>9600</v>
      </c>
      <c r="T8">
        <v>3</v>
      </c>
      <c r="U8">
        <v>8</v>
      </c>
      <c r="V8" t="s">
        <v>299</v>
      </c>
      <c r="Y8" s="6" t="s">
        <v>217</v>
      </c>
    </row>
    <row r="9" spans="1:25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O9">
        <v>200006</v>
      </c>
      <c r="P9">
        <v>3</v>
      </c>
      <c r="Q9">
        <v>1</v>
      </c>
      <c r="R9">
        <f t="shared" si="1"/>
        <v>9600</v>
      </c>
      <c r="S9">
        <f t="shared" si="0"/>
        <v>19200</v>
      </c>
      <c r="T9">
        <v>3</v>
      </c>
      <c r="U9">
        <v>8</v>
      </c>
      <c r="V9" t="s">
        <v>300</v>
      </c>
      <c r="Y9" s="6" t="s">
        <v>218</v>
      </c>
    </row>
    <row r="10" spans="1:25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O10">
        <v>200007</v>
      </c>
      <c r="P10">
        <v>4</v>
      </c>
      <c r="Q10">
        <v>1</v>
      </c>
      <c r="R10">
        <f t="shared" si="1"/>
        <v>19200</v>
      </c>
      <c r="S10">
        <f t="shared" si="0"/>
        <v>38400</v>
      </c>
      <c r="T10">
        <v>3</v>
      </c>
      <c r="U10">
        <v>8</v>
      </c>
      <c r="V10" t="s">
        <v>301</v>
      </c>
      <c r="Y10" s="6" t="s">
        <v>219</v>
      </c>
    </row>
    <row r="11" spans="1:25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O11">
        <v>200008</v>
      </c>
      <c r="P11">
        <v>1</v>
      </c>
      <c r="Q11">
        <v>1</v>
      </c>
      <c r="R11">
        <f t="shared" si="1"/>
        <v>38400</v>
      </c>
      <c r="S11">
        <f t="shared" si="0"/>
        <v>76800</v>
      </c>
      <c r="T11">
        <v>3</v>
      </c>
      <c r="U11">
        <v>8</v>
      </c>
      <c r="V11" t="s">
        <v>302</v>
      </c>
      <c r="Y11" s="6" t="s">
        <v>220</v>
      </c>
    </row>
    <row r="12" spans="1:25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O12">
        <v>200009</v>
      </c>
      <c r="P12">
        <v>2</v>
      </c>
      <c r="Q12">
        <v>1</v>
      </c>
      <c r="R12">
        <f t="shared" si="1"/>
        <v>76800</v>
      </c>
      <c r="S12">
        <f t="shared" si="0"/>
        <v>153600</v>
      </c>
      <c r="T12">
        <v>3</v>
      </c>
      <c r="U12">
        <v>8</v>
      </c>
      <c r="V12" t="s">
        <v>303</v>
      </c>
      <c r="Y12" s="6" t="s">
        <v>221</v>
      </c>
    </row>
    <row r="13" spans="1:25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O13">
        <v>200010</v>
      </c>
      <c r="P13">
        <v>3</v>
      </c>
      <c r="Q13">
        <v>1</v>
      </c>
      <c r="R13">
        <f t="shared" si="1"/>
        <v>153600</v>
      </c>
      <c r="S13">
        <f t="shared" si="0"/>
        <v>307200</v>
      </c>
      <c r="T13">
        <v>3</v>
      </c>
      <c r="U13">
        <v>8</v>
      </c>
      <c r="V13" t="s">
        <v>304</v>
      </c>
      <c r="Y13" s="6" t="s">
        <v>222</v>
      </c>
    </row>
    <row r="14" spans="1:25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O14">
        <v>200011</v>
      </c>
      <c r="P14">
        <v>4</v>
      </c>
      <c r="Q14">
        <v>1</v>
      </c>
      <c r="R14">
        <f t="shared" si="1"/>
        <v>307200</v>
      </c>
      <c r="S14">
        <f t="shared" si="0"/>
        <v>614400</v>
      </c>
      <c r="T14">
        <v>3</v>
      </c>
      <c r="U14">
        <v>8</v>
      </c>
      <c r="V14" t="s">
        <v>305</v>
      </c>
      <c r="Y14" s="6" t="s">
        <v>223</v>
      </c>
    </row>
    <row r="15" spans="1:25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O15">
        <v>200012</v>
      </c>
      <c r="P15">
        <v>1</v>
      </c>
      <c r="Q15">
        <v>1</v>
      </c>
      <c r="R15">
        <f t="shared" si="1"/>
        <v>614400</v>
      </c>
      <c r="S15">
        <f t="shared" si="0"/>
        <v>1228800</v>
      </c>
      <c r="T15">
        <v>3</v>
      </c>
      <c r="U15">
        <v>8</v>
      </c>
      <c r="V15" t="s">
        <v>306</v>
      </c>
      <c r="Y15" s="6" t="s">
        <v>224</v>
      </c>
    </row>
    <row r="16" spans="1:25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O16">
        <v>200013</v>
      </c>
      <c r="P16">
        <v>2</v>
      </c>
      <c r="Q16">
        <v>1</v>
      </c>
      <c r="R16">
        <f t="shared" si="1"/>
        <v>1228800</v>
      </c>
      <c r="S16">
        <f t="shared" si="0"/>
        <v>2457600</v>
      </c>
      <c r="T16">
        <v>3</v>
      </c>
      <c r="U16">
        <v>8</v>
      </c>
      <c r="V16" t="s">
        <v>307</v>
      </c>
      <c r="Y16" s="6" t="s">
        <v>225</v>
      </c>
    </row>
    <row r="17" spans="1:25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O17">
        <v>200014</v>
      </c>
      <c r="P17">
        <v>3</v>
      </c>
      <c r="Q17">
        <v>1</v>
      </c>
      <c r="R17">
        <f t="shared" si="1"/>
        <v>2457600</v>
      </c>
      <c r="S17">
        <f t="shared" si="0"/>
        <v>4915200</v>
      </c>
      <c r="T17">
        <v>3</v>
      </c>
      <c r="U17">
        <v>8</v>
      </c>
      <c r="V17" t="s">
        <v>308</v>
      </c>
      <c r="Y17" s="6" t="s">
        <v>226</v>
      </c>
    </row>
    <row r="18" spans="1:25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O18">
        <v>200015</v>
      </c>
      <c r="P18">
        <v>4</v>
      </c>
      <c r="Q18">
        <v>1</v>
      </c>
      <c r="R18">
        <f t="shared" si="1"/>
        <v>4915200</v>
      </c>
      <c r="S18">
        <f t="shared" si="0"/>
        <v>9830400</v>
      </c>
      <c r="T18">
        <v>3</v>
      </c>
      <c r="U18">
        <v>8</v>
      </c>
      <c r="V18" t="s">
        <v>309</v>
      </c>
      <c r="Y18" s="6" t="s">
        <v>227</v>
      </c>
    </row>
    <row r="19" spans="1:25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O19">
        <v>200016</v>
      </c>
      <c r="P19">
        <v>1</v>
      </c>
      <c r="Q19">
        <v>1</v>
      </c>
      <c r="R19">
        <f t="shared" si="1"/>
        <v>9830400</v>
      </c>
      <c r="S19">
        <f t="shared" si="0"/>
        <v>19660800</v>
      </c>
      <c r="T19">
        <v>3</v>
      </c>
      <c r="U19">
        <v>8</v>
      </c>
      <c r="V19" t="s">
        <v>310</v>
      </c>
      <c r="Y19" s="6" t="s">
        <v>228</v>
      </c>
    </row>
    <row r="20" spans="1:25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O20">
        <v>200017</v>
      </c>
      <c r="P20">
        <v>2</v>
      </c>
      <c r="Q20">
        <v>1</v>
      </c>
      <c r="R20">
        <f t="shared" si="1"/>
        <v>19660800</v>
      </c>
      <c r="S20">
        <f t="shared" si="0"/>
        <v>39321600</v>
      </c>
      <c r="T20">
        <v>3</v>
      </c>
      <c r="U20">
        <v>8</v>
      </c>
      <c r="V20" t="s">
        <v>311</v>
      </c>
      <c r="Y20" s="6" t="s">
        <v>229</v>
      </c>
    </row>
    <row r="21" spans="1:25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O21">
        <v>200018</v>
      </c>
      <c r="P21">
        <v>3</v>
      </c>
      <c r="Q21">
        <v>1</v>
      </c>
      <c r="R21">
        <f t="shared" si="1"/>
        <v>39321600</v>
      </c>
      <c r="S21">
        <f t="shared" si="0"/>
        <v>78643200</v>
      </c>
      <c r="T21">
        <v>3</v>
      </c>
      <c r="U21">
        <v>8</v>
      </c>
      <c r="V21" t="s">
        <v>312</v>
      </c>
      <c r="Y21" s="6" t="s">
        <v>230</v>
      </c>
    </row>
    <row r="22" spans="1:25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O22">
        <v>200019</v>
      </c>
      <c r="P22">
        <v>4</v>
      </c>
      <c r="Q22">
        <v>1</v>
      </c>
      <c r="R22">
        <f t="shared" si="1"/>
        <v>78643200</v>
      </c>
      <c r="S22">
        <f t="shared" si="0"/>
        <v>157286400</v>
      </c>
      <c r="T22">
        <v>3</v>
      </c>
      <c r="U22">
        <v>8</v>
      </c>
      <c r="V22" t="s">
        <v>313</v>
      </c>
      <c r="Y22" s="6" t="s">
        <v>231</v>
      </c>
    </row>
    <row r="23" spans="1:25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O23">
        <v>300000</v>
      </c>
      <c r="P23">
        <v>1</v>
      </c>
      <c r="Q23">
        <v>2</v>
      </c>
      <c r="R23">
        <v>200</v>
      </c>
      <c r="S23">
        <v>400</v>
      </c>
      <c r="T23">
        <v>3</v>
      </c>
      <c r="U23">
        <v>8</v>
      </c>
      <c r="V23" t="s">
        <v>314</v>
      </c>
      <c r="Y23" s="6" t="s">
        <v>232</v>
      </c>
    </row>
    <row r="24" spans="1:25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O24">
        <v>300001</v>
      </c>
      <c r="P24">
        <v>2</v>
      </c>
      <c r="Q24">
        <v>2</v>
      </c>
      <c r="R24">
        <v>300</v>
      </c>
      <c r="S24">
        <v>600</v>
      </c>
      <c r="T24">
        <v>3</v>
      </c>
      <c r="U24">
        <v>8</v>
      </c>
      <c r="V24" t="s">
        <v>315</v>
      </c>
      <c r="Y24" s="6" t="s">
        <v>233</v>
      </c>
    </row>
    <row r="25" spans="1:25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O25">
        <v>300002</v>
      </c>
      <c r="P25">
        <v>3</v>
      </c>
      <c r="Q25">
        <v>2</v>
      </c>
      <c r="R25">
        <v>600</v>
      </c>
      <c r="S25">
        <v>1200</v>
      </c>
      <c r="T25">
        <v>3</v>
      </c>
      <c r="U25">
        <v>8</v>
      </c>
      <c r="V25" t="s">
        <v>316</v>
      </c>
      <c r="Y25" s="6" t="s">
        <v>234</v>
      </c>
    </row>
    <row r="26" spans="1:25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O26">
        <v>300003</v>
      </c>
      <c r="P26">
        <v>4</v>
      </c>
      <c r="Q26">
        <v>2</v>
      </c>
      <c r="R26">
        <v>1200</v>
      </c>
      <c r="S26">
        <v>2400</v>
      </c>
      <c r="T26">
        <v>3</v>
      </c>
      <c r="U26">
        <v>8</v>
      </c>
      <c r="V26" t="s">
        <v>317</v>
      </c>
      <c r="Y26" s="6" t="s">
        <v>235</v>
      </c>
    </row>
    <row r="27" spans="1:25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O27">
        <v>300004</v>
      </c>
      <c r="P27">
        <v>1</v>
      </c>
      <c r="Q27">
        <v>2</v>
      </c>
      <c r="R27">
        <v>2400</v>
      </c>
      <c r="S27">
        <v>4800</v>
      </c>
      <c r="T27">
        <v>3</v>
      </c>
      <c r="U27">
        <v>8</v>
      </c>
      <c r="V27" t="s">
        <v>318</v>
      </c>
      <c r="Y27" s="6" t="s">
        <v>236</v>
      </c>
    </row>
    <row r="28" spans="1:25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O28">
        <v>300005</v>
      </c>
      <c r="P28">
        <v>2</v>
      </c>
      <c r="Q28">
        <v>2</v>
      </c>
      <c r="R28">
        <v>4800</v>
      </c>
      <c r="S28">
        <v>9600</v>
      </c>
      <c r="T28">
        <v>3</v>
      </c>
      <c r="U28">
        <v>8</v>
      </c>
      <c r="V28" t="s">
        <v>319</v>
      </c>
      <c r="Y28" s="6" t="s">
        <v>237</v>
      </c>
    </row>
    <row r="29" spans="1:25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O29">
        <v>300006</v>
      </c>
      <c r="P29">
        <v>3</v>
      </c>
      <c r="Q29">
        <v>2</v>
      </c>
      <c r="R29">
        <v>9600</v>
      </c>
      <c r="S29">
        <v>19200</v>
      </c>
      <c r="T29">
        <v>3</v>
      </c>
      <c r="U29">
        <v>8</v>
      </c>
      <c r="V29" t="s">
        <v>320</v>
      </c>
      <c r="Y29" s="6" t="s">
        <v>238</v>
      </c>
    </row>
    <row r="30" spans="1:25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O30">
        <v>300007</v>
      </c>
      <c r="P30">
        <v>4</v>
      </c>
      <c r="Q30">
        <v>2</v>
      </c>
      <c r="R30">
        <v>19200</v>
      </c>
      <c r="S30">
        <v>38400</v>
      </c>
      <c r="T30">
        <v>3</v>
      </c>
      <c r="U30">
        <v>8</v>
      </c>
      <c r="V30" t="s">
        <v>321</v>
      </c>
      <c r="Y30" s="6" t="s">
        <v>239</v>
      </c>
    </row>
    <row r="31" spans="1:25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O31">
        <v>300008</v>
      </c>
      <c r="P31">
        <v>1</v>
      </c>
      <c r="Q31">
        <v>2</v>
      </c>
      <c r="R31">
        <v>38400</v>
      </c>
      <c r="S31">
        <v>76800</v>
      </c>
      <c r="T31">
        <v>3</v>
      </c>
      <c r="U31">
        <v>8</v>
      </c>
      <c r="V31" t="s">
        <v>322</v>
      </c>
      <c r="Y31" s="6" t="s">
        <v>240</v>
      </c>
    </row>
    <row r="32" spans="1:25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O32">
        <v>300009</v>
      </c>
      <c r="P32">
        <v>2</v>
      </c>
      <c r="Q32">
        <v>2</v>
      </c>
      <c r="R32">
        <v>76800</v>
      </c>
      <c r="S32">
        <v>153600</v>
      </c>
      <c r="T32">
        <v>3</v>
      </c>
      <c r="U32">
        <v>8</v>
      </c>
      <c r="V32" t="s">
        <v>323</v>
      </c>
      <c r="Y32" s="6" t="s">
        <v>241</v>
      </c>
    </row>
    <row r="33" spans="1:25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O33">
        <v>300010</v>
      </c>
      <c r="P33">
        <v>3</v>
      </c>
      <c r="Q33">
        <v>2</v>
      </c>
      <c r="R33">
        <v>153600</v>
      </c>
      <c r="S33">
        <v>307200</v>
      </c>
      <c r="T33">
        <v>3</v>
      </c>
      <c r="U33">
        <v>8</v>
      </c>
      <c r="V33" t="s">
        <v>324</v>
      </c>
      <c r="Y33" s="6" t="s">
        <v>242</v>
      </c>
    </row>
    <row r="34" spans="1:25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O34">
        <v>300011</v>
      </c>
      <c r="P34">
        <v>4</v>
      </c>
      <c r="Q34">
        <v>2</v>
      </c>
      <c r="R34">
        <v>307200</v>
      </c>
      <c r="S34">
        <v>614400</v>
      </c>
      <c r="T34">
        <v>3</v>
      </c>
      <c r="U34">
        <v>8</v>
      </c>
      <c r="V34" t="s">
        <v>325</v>
      </c>
      <c r="Y34" s="6" t="s">
        <v>243</v>
      </c>
    </row>
    <row r="35" spans="1:25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O35">
        <v>300012</v>
      </c>
      <c r="P35">
        <v>1</v>
      </c>
      <c r="Q35">
        <v>2</v>
      </c>
      <c r="R35">
        <v>614400</v>
      </c>
      <c r="S35">
        <v>1228800</v>
      </c>
      <c r="T35">
        <v>3</v>
      </c>
      <c r="U35">
        <v>8</v>
      </c>
      <c r="V35" t="s">
        <v>326</v>
      </c>
      <c r="Y35" s="6" t="s">
        <v>244</v>
      </c>
    </row>
    <row r="36" spans="1:25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O36">
        <v>300013</v>
      </c>
      <c r="P36">
        <v>2</v>
      </c>
      <c r="Q36">
        <v>2</v>
      </c>
      <c r="R36">
        <v>1228800</v>
      </c>
      <c r="S36">
        <v>2457600</v>
      </c>
      <c r="T36">
        <v>3</v>
      </c>
      <c r="U36">
        <v>8</v>
      </c>
      <c r="V36" t="s">
        <v>327</v>
      </c>
      <c r="Y36" s="6" t="s">
        <v>245</v>
      </c>
    </row>
    <row r="37" spans="1:25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O37">
        <v>300014</v>
      </c>
      <c r="P37">
        <v>3</v>
      </c>
      <c r="Q37">
        <v>2</v>
      </c>
      <c r="R37">
        <v>2457600</v>
      </c>
      <c r="S37">
        <v>4915200</v>
      </c>
      <c r="T37">
        <v>3</v>
      </c>
      <c r="U37">
        <v>8</v>
      </c>
      <c r="V37" t="s">
        <v>328</v>
      </c>
      <c r="Y37" s="6" t="s">
        <v>246</v>
      </c>
    </row>
    <row r="38" spans="1:25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O38">
        <v>300015</v>
      </c>
      <c r="P38">
        <v>4</v>
      </c>
      <c r="Q38">
        <v>2</v>
      </c>
      <c r="R38">
        <v>4915200</v>
      </c>
      <c r="S38">
        <v>9830400</v>
      </c>
      <c r="T38">
        <v>3</v>
      </c>
      <c r="U38">
        <v>8</v>
      </c>
      <c r="V38" t="s">
        <v>329</v>
      </c>
      <c r="Y38" s="6" t="s">
        <v>247</v>
      </c>
    </row>
    <row r="39" spans="1:25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O39">
        <v>300016</v>
      </c>
      <c r="P39">
        <v>1</v>
      </c>
      <c r="Q39">
        <v>2</v>
      </c>
      <c r="R39">
        <v>9830400</v>
      </c>
      <c r="S39">
        <v>19660800</v>
      </c>
      <c r="T39">
        <v>3</v>
      </c>
      <c r="U39">
        <v>8</v>
      </c>
      <c r="V39" t="s">
        <v>330</v>
      </c>
      <c r="Y39" s="6" t="s">
        <v>248</v>
      </c>
    </row>
    <row r="40" spans="1:25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O40">
        <v>300017</v>
      </c>
      <c r="P40">
        <v>2</v>
      </c>
      <c r="Q40">
        <v>2</v>
      </c>
      <c r="R40">
        <v>19660800</v>
      </c>
      <c r="S40">
        <v>39321600</v>
      </c>
      <c r="T40">
        <v>3</v>
      </c>
      <c r="U40">
        <v>8</v>
      </c>
      <c r="V40" t="s">
        <v>331</v>
      </c>
      <c r="Y40" s="6" t="s">
        <v>249</v>
      </c>
    </row>
    <row r="41" spans="1:25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O41">
        <v>300018</v>
      </c>
      <c r="P41">
        <v>3</v>
      </c>
      <c r="Q41">
        <v>2</v>
      </c>
      <c r="R41">
        <v>39321600</v>
      </c>
      <c r="S41">
        <v>78643200</v>
      </c>
      <c r="T41">
        <v>3</v>
      </c>
      <c r="U41">
        <v>8</v>
      </c>
      <c r="V41" t="s">
        <v>332</v>
      </c>
      <c r="Y41" s="6" t="s">
        <v>250</v>
      </c>
    </row>
    <row r="42" spans="1:25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O42">
        <v>300019</v>
      </c>
      <c r="P42">
        <v>4</v>
      </c>
      <c r="Q42">
        <v>2</v>
      </c>
      <c r="R42">
        <v>78643200</v>
      </c>
      <c r="S42">
        <v>157286400</v>
      </c>
      <c r="T42">
        <v>3</v>
      </c>
      <c r="U42">
        <v>8</v>
      </c>
      <c r="V42" t="s">
        <v>333</v>
      </c>
      <c r="Y42" s="6" t="s">
        <v>251</v>
      </c>
    </row>
  </sheetData>
  <phoneticPr fontId="2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14AB9-B743-42C6-87C5-8D7875CAD8AF}">
  <sheetPr codeName="Sheet19">
    <tabColor rgb="FF92D050"/>
  </sheetPr>
  <dimension ref="A1:R102"/>
  <sheetViews>
    <sheetView workbookViewId="0">
      <selection activeCell="K29" sqref="K29"/>
    </sheetView>
  </sheetViews>
  <sheetFormatPr baseColWidth="10" defaultColWidth="8.83203125" defaultRowHeight="15"/>
  <cols>
    <col min="16" max="16" width="10.6640625" customWidth="1"/>
  </cols>
  <sheetData>
    <row r="1" spans="1:18">
      <c r="A1" s="4" t="s">
        <v>81</v>
      </c>
      <c r="B1" s="5" t="s">
        <v>82</v>
      </c>
      <c r="C1" s="5" t="s">
        <v>83</v>
      </c>
      <c r="D1" s="5" t="s">
        <v>31</v>
      </c>
      <c r="E1" s="5" t="s">
        <v>33</v>
      </c>
      <c r="F1" s="5" t="s">
        <v>35</v>
      </c>
      <c r="G1" s="5" t="s">
        <v>84</v>
      </c>
      <c r="H1" s="5" t="s">
        <v>85</v>
      </c>
      <c r="I1" s="5" t="s">
        <v>86</v>
      </c>
      <c r="J1" s="5" t="s">
        <v>87</v>
      </c>
      <c r="N1" s="7" t="s">
        <v>88</v>
      </c>
      <c r="O1" s="7" t="s">
        <v>149</v>
      </c>
      <c r="P1" t="s">
        <v>334</v>
      </c>
      <c r="Q1" t="s">
        <v>335</v>
      </c>
      <c r="R1" t="s">
        <v>336</v>
      </c>
    </row>
    <row r="2" spans="1:18">
      <c r="A2" s="4" t="s">
        <v>91</v>
      </c>
      <c r="B2" s="5" t="s">
        <v>92</v>
      </c>
      <c r="C2" s="5" t="s">
        <v>93</v>
      </c>
      <c r="D2" s="5" t="s">
        <v>94</v>
      </c>
      <c r="E2" s="5" t="s">
        <v>95</v>
      </c>
      <c r="F2" s="5" t="s">
        <v>96</v>
      </c>
      <c r="G2" s="5" t="s">
        <v>97</v>
      </c>
      <c r="H2" s="5" t="s">
        <v>98</v>
      </c>
      <c r="I2" s="5" t="s">
        <v>99</v>
      </c>
      <c r="J2" s="5" t="s">
        <v>100</v>
      </c>
      <c r="N2" s="6"/>
      <c r="O2" s="7" t="s">
        <v>337</v>
      </c>
      <c r="P2" t="s">
        <v>338</v>
      </c>
      <c r="Q2" t="s">
        <v>339</v>
      </c>
      <c r="R2" t="s">
        <v>340</v>
      </c>
    </row>
    <row r="3" spans="1:18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O3">
        <v>1</v>
      </c>
      <c r="P3">
        <v>100</v>
      </c>
      <c r="Q3">
        <v>1000</v>
      </c>
      <c r="R3">
        <v>1000</v>
      </c>
    </row>
    <row r="4" spans="1:18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O4">
        <v>2</v>
      </c>
      <c r="P4">
        <v>150</v>
      </c>
      <c r="Q4">
        <v>1010</v>
      </c>
      <c r="R4">
        <v>1010</v>
      </c>
    </row>
    <row r="5" spans="1:18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O5">
        <v>3</v>
      </c>
      <c r="P5">
        <v>200</v>
      </c>
      <c r="Q5">
        <v>1020</v>
      </c>
      <c r="R5">
        <v>1020</v>
      </c>
    </row>
    <row r="6" spans="1:18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O6">
        <v>4</v>
      </c>
      <c r="P6">
        <v>250</v>
      </c>
      <c r="Q6">
        <v>1030</v>
      </c>
      <c r="R6">
        <v>1030</v>
      </c>
    </row>
    <row r="7" spans="1:18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O7">
        <v>5</v>
      </c>
      <c r="P7">
        <v>300</v>
      </c>
      <c r="Q7">
        <v>1040</v>
      </c>
      <c r="R7">
        <v>1040</v>
      </c>
    </row>
    <row r="8" spans="1:18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O8">
        <v>6</v>
      </c>
      <c r="P8">
        <v>350</v>
      </c>
      <c r="Q8">
        <v>1050</v>
      </c>
      <c r="R8">
        <v>1050</v>
      </c>
    </row>
    <row r="9" spans="1:18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O9">
        <v>7</v>
      </c>
      <c r="P9">
        <v>400</v>
      </c>
      <c r="Q9">
        <v>1060</v>
      </c>
      <c r="R9">
        <v>1060</v>
      </c>
    </row>
    <row r="10" spans="1:18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O10">
        <v>8</v>
      </c>
      <c r="P10">
        <v>450</v>
      </c>
      <c r="Q10">
        <v>1070</v>
      </c>
      <c r="R10">
        <v>1070</v>
      </c>
    </row>
    <row r="11" spans="1:18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O11">
        <v>9</v>
      </c>
      <c r="P11">
        <v>500</v>
      </c>
      <c r="Q11">
        <v>1080</v>
      </c>
      <c r="R11">
        <v>1080</v>
      </c>
    </row>
    <row r="12" spans="1:18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O12">
        <v>10</v>
      </c>
      <c r="P12">
        <v>550</v>
      </c>
      <c r="Q12">
        <v>1090</v>
      </c>
      <c r="R12">
        <v>1090</v>
      </c>
    </row>
    <row r="13" spans="1:18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O13">
        <v>11</v>
      </c>
      <c r="P13">
        <v>600</v>
      </c>
      <c r="Q13">
        <v>1100</v>
      </c>
      <c r="R13">
        <v>1100</v>
      </c>
    </row>
    <row r="14" spans="1:18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O14">
        <v>12</v>
      </c>
      <c r="P14">
        <v>650</v>
      </c>
      <c r="Q14">
        <v>1110</v>
      </c>
      <c r="R14">
        <v>1110</v>
      </c>
    </row>
    <row r="15" spans="1:18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O15">
        <v>13</v>
      </c>
      <c r="P15">
        <v>700</v>
      </c>
      <c r="Q15">
        <v>1120</v>
      </c>
      <c r="R15">
        <v>1120</v>
      </c>
    </row>
    <row r="16" spans="1:18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O16">
        <v>14</v>
      </c>
      <c r="P16">
        <v>750</v>
      </c>
      <c r="Q16">
        <v>1130</v>
      </c>
      <c r="R16">
        <v>1130</v>
      </c>
    </row>
    <row r="17" spans="1:18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O17">
        <v>15</v>
      </c>
      <c r="P17">
        <v>800</v>
      </c>
      <c r="Q17">
        <v>1140</v>
      </c>
      <c r="R17">
        <v>1140</v>
      </c>
    </row>
    <row r="18" spans="1:18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O18">
        <v>16</v>
      </c>
      <c r="P18">
        <v>850</v>
      </c>
      <c r="Q18">
        <v>1150</v>
      </c>
      <c r="R18">
        <v>1150</v>
      </c>
    </row>
    <row r="19" spans="1:18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O19">
        <v>17</v>
      </c>
      <c r="P19">
        <v>900</v>
      </c>
      <c r="Q19">
        <v>1160</v>
      </c>
      <c r="R19">
        <v>1160</v>
      </c>
    </row>
    <row r="20" spans="1:18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O20">
        <v>18</v>
      </c>
      <c r="P20">
        <v>950</v>
      </c>
      <c r="Q20">
        <v>1170</v>
      </c>
      <c r="R20">
        <v>1170</v>
      </c>
    </row>
    <row r="21" spans="1:18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O21">
        <v>19</v>
      </c>
      <c r="P21">
        <v>1000</v>
      </c>
      <c r="Q21">
        <v>1180</v>
      </c>
      <c r="R21">
        <v>1180</v>
      </c>
    </row>
    <row r="22" spans="1:18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O22">
        <v>20</v>
      </c>
      <c r="P22">
        <v>1050</v>
      </c>
      <c r="Q22">
        <v>1190</v>
      </c>
      <c r="R22">
        <v>1190</v>
      </c>
    </row>
    <row r="23" spans="1:18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O23">
        <v>21</v>
      </c>
      <c r="P23">
        <v>1100</v>
      </c>
      <c r="Q23">
        <v>1200</v>
      </c>
      <c r="R23">
        <v>1200</v>
      </c>
    </row>
    <row r="24" spans="1:18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O24">
        <v>22</v>
      </c>
      <c r="P24">
        <v>1150</v>
      </c>
      <c r="Q24">
        <v>1210</v>
      </c>
      <c r="R24">
        <v>1210</v>
      </c>
    </row>
    <row r="25" spans="1:18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O25">
        <v>23</v>
      </c>
      <c r="P25">
        <v>1200</v>
      </c>
      <c r="Q25">
        <v>1220</v>
      </c>
      <c r="R25">
        <v>1220</v>
      </c>
    </row>
    <row r="26" spans="1:18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O26">
        <v>24</v>
      </c>
      <c r="P26">
        <v>1250</v>
      </c>
      <c r="Q26">
        <v>1230</v>
      </c>
      <c r="R26">
        <v>1230</v>
      </c>
    </row>
    <row r="27" spans="1:18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O27">
        <v>25</v>
      </c>
      <c r="P27">
        <v>1300</v>
      </c>
      <c r="Q27">
        <v>1240</v>
      </c>
      <c r="R27">
        <v>1240</v>
      </c>
    </row>
    <row r="28" spans="1:18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O28">
        <v>26</v>
      </c>
      <c r="P28">
        <v>1350</v>
      </c>
      <c r="Q28">
        <v>1250</v>
      </c>
      <c r="R28">
        <v>1250</v>
      </c>
    </row>
    <row r="29" spans="1:18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O29">
        <v>27</v>
      </c>
      <c r="P29">
        <v>1400</v>
      </c>
      <c r="Q29">
        <v>1260</v>
      </c>
      <c r="R29">
        <v>1260</v>
      </c>
    </row>
    <row r="30" spans="1:18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O30">
        <v>28</v>
      </c>
      <c r="P30">
        <v>1450</v>
      </c>
      <c r="Q30">
        <v>1270</v>
      </c>
      <c r="R30">
        <v>1270</v>
      </c>
    </row>
    <row r="31" spans="1:18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O31">
        <v>29</v>
      </c>
      <c r="P31">
        <v>1500</v>
      </c>
      <c r="Q31">
        <v>1280</v>
      </c>
      <c r="R31">
        <v>1280</v>
      </c>
    </row>
    <row r="32" spans="1:18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O32">
        <v>30</v>
      </c>
      <c r="P32">
        <v>1550</v>
      </c>
      <c r="Q32">
        <v>1290</v>
      </c>
      <c r="R32">
        <v>1290</v>
      </c>
    </row>
    <row r="33" spans="1:18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O33">
        <v>31</v>
      </c>
      <c r="P33">
        <v>1600</v>
      </c>
      <c r="Q33">
        <v>1300</v>
      </c>
      <c r="R33">
        <v>1300</v>
      </c>
    </row>
    <row r="34" spans="1:18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O34">
        <v>32</v>
      </c>
      <c r="P34">
        <v>1650</v>
      </c>
      <c r="Q34">
        <v>1310</v>
      </c>
      <c r="R34">
        <v>1310</v>
      </c>
    </row>
    <row r="35" spans="1:18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O35">
        <v>33</v>
      </c>
      <c r="P35">
        <v>1700</v>
      </c>
      <c r="Q35">
        <v>1320</v>
      </c>
      <c r="R35">
        <v>1320</v>
      </c>
    </row>
    <row r="36" spans="1:18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O36">
        <v>34</v>
      </c>
      <c r="P36">
        <v>1750</v>
      </c>
      <c r="Q36">
        <v>1330</v>
      </c>
      <c r="R36">
        <v>1330</v>
      </c>
    </row>
    <row r="37" spans="1:18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O37">
        <v>35</v>
      </c>
      <c r="P37">
        <v>1800</v>
      </c>
      <c r="Q37">
        <v>1340</v>
      </c>
      <c r="R37">
        <v>1340</v>
      </c>
    </row>
    <row r="38" spans="1:18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O38">
        <v>36</v>
      </c>
      <c r="P38">
        <v>1850</v>
      </c>
      <c r="Q38">
        <v>1350</v>
      </c>
      <c r="R38">
        <v>1350</v>
      </c>
    </row>
    <row r="39" spans="1:18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O39">
        <v>37</v>
      </c>
      <c r="P39">
        <v>1900</v>
      </c>
      <c r="Q39">
        <v>1360</v>
      </c>
      <c r="R39">
        <v>1360</v>
      </c>
    </row>
    <row r="40" spans="1:18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O40">
        <v>38</v>
      </c>
      <c r="P40">
        <v>1950</v>
      </c>
      <c r="Q40">
        <v>1370</v>
      </c>
      <c r="R40">
        <v>1370</v>
      </c>
    </row>
    <row r="41" spans="1:18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O41">
        <v>39</v>
      </c>
      <c r="P41">
        <v>2000</v>
      </c>
      <c r="Q41">
        <v>1380</v>
      </c>
      <c r="R41">
        <v>1380</v>
      </c>
    </row>
    <row r="42" spans="1:18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O42">
        <v>40</v>
      </c>
      <c r="P42">
        <v>2050</v>
      </c>
      <c r="Q42">
        <v>1390</v>
      </c>
      <c r="R42">
        <v>1390</v>
      </c>
    </row>
    <row r="43" spans="1:18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O43">
        <v>41</v>
      </c>
      <c r="P43">
        <v>2100</v>
      </c>
      <c r="Q43">
        <v>1400</v>
      </c>
      <c r="R43">
        <v>1400</v>
      </c>
    </row>
    <row r="44" spans="1:18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O44">
        <v>42</v>
      </c>
      <c r="P44">
        <v>2150</v>
      </c>
      <c r="Q44">
        <v>1410</v>
      </c>
      <c r="R44">
        <v>1410</v>
      </c>
    </row>
    <row r="45" spans="1:18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O45">
        <v>43</v>
      </c>
      <c r="P45">
        <v>2200</v>
      </c>
      <c r="Q45">
        <v>1420</v>
      </c>
      <c r="R45">
        <v>1420</v>
      </c>
    </row>
    <row r="46" spans="1:18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O46">
        <v>44</v>
      </c>
      <c r="P46">
        <v>2250</v>
      </c>
      <c r="Q46">
        <v>1430</v>
      </c>
      <c r="R46">
        <v>1430</v>
      </c>
    </row>
    <row r="47" spans="1:18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O47">
        <v>45</v>
      </c>
      <c r="P47">
        <v>2300</v>
      </c>
      <c r="Q47">
        <v>1440</v>
      </c>
      <c r="R47">
        <v>1440</v>
      </c>
    </row>
    <row r="48" spans="1:18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O48">
        <v>46</v>
      </c>
      <c r="P48">
        <v>2350</v>
      </c>
      <c r="Q48">
        <v>1450</v>
      </c>
      <c r="R48">
        <v>1450</v>
      </c>
    </row>
    <row r="49" spans="1:18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O49">
        <v>47</v>
      </c>
      <c r="P49">
        <v>2400</v>
      </c>
      <c r="Q49">
        <v>1460</v>
      </c>
      <c r="R49">
        <v>1460</v>
      </c>
    </row>
    <row r="50" spans="1:18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O50">
        <v>48</v>
      </c>
      <c r="P50">
        <v>2450</v>
      </c>
      <c r="Q50">
        <v>1470</v>
      </c>
      <c r="R50">
        <v>1470</v>
      </c>
    </row>
    <row r="51" spans="1:18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O51">
        <v>49</v>
      </c>
      <c r="P51">
        <v>2500</v>
      </c>
      <c r="Q51">
        <v>1480</v>
      </c>
      <c r="R51">
        <v>1480</v>
      </c>
    </row>
    <row r="52" spans="1:18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O52">
        <v>50</v>
      </c>
      <c r="P52">
        <v>2550</v>
      </c>
      <c r="Q52">
        <v>1490</v>
      </c>
      <c r="R52">
        <v>1490</v>
      </c>
    </row>
    <row r="53" spans="1:18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O53">
        <v>51</v>
      </c>
      <c r="P53">
        <v>2600</v>
      </c>
      <c r="Q53">
        <v>1500</v>
      </c>
      <c r="R53">
        <v>1500</v>
      </c>
    </row>
    <row r="54" spans="1:18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O54">
        <v>52</v>
      </c>
      <c r="P54">
        <v>2650</v>
      </c>
      <c r="Q54">
        <v>1510</v>
      </c>
      <c r="R54">
        <v>1510</v>
      </c>
    </row>
    <row r="55" spans="1:18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O55">
        <v>53</v>
      </c>
      <c r="P55">
        <v>2700</v>
      </c>
      <c r="Q55">
        <v>1520</v>
      </c>
      <c r="R55">
        <v>1520</v>
      </c>
    </row>
    <row r="56" spans="1:18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O56">
        <v>54</v>
      </c>
      <c r="P56">
        <v>2750</v>
      </c>
      <c r="Q56">
        <v>1530</v>
      </c>
      <c r="R56">
        <v>1530</v>
      </c>
    </row>
    <row r="57" spans="1:18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O57">
        <v>55</v>
      </c>
      <c r="P57">
        <v>2800</v>
      </c>
      <c r="Q57">
        <v>1540</v>
      </c>
      <c r="R57">
        <v>1540</v>
      </c>
    </row>
    <row r="58" spans="1:18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O58">
        <v>56</v>
      </c>
      <c r="P58">
        <v>2850</v>
      </c>
      <c r="Q58">
        <v>1550</v>
      </c>
      <c r="R58">
        <v>1550</v>
      </c>
    </row>
    <row r="59" spans="1:18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O59">
        <v>57</v>
      </c>
      <c r="P59">
        <v>2900</v>
      </c>
      <c r="Q59">
        <v>1560</v>
      </c>
      <c r="R59">
        <v>1560</v>
      </c>
    </row>
    <row r="60" spans="1:18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O60">
        <v>58</v>
      </c>
      <c r="P60">
        <v>2950</v>
      </c>
      <c r="Q60">
        <v>1570</v>
      </c>
      <c r="R60">
        <v>1570</v>
      </c>
    </row>
    <row r="61" spans="1:18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O61">
        <v>59</v>
      </c>
      <c r="P61">
        <v>3000</v>
      </c>
      <c r="Q61">
        <v>1580</v>
      </c>
      <c r="R61">
        <v>1580</v>
      </c>
    </row>
    <row r="62" spans="1:18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O62">
        <v>60</v>
      </c>
      <c r="P62">
        <v>3050</v>
      </c>
      <c r="Q62">
        <v>1590</v>
      </c>
      <c r="R62">
        <v>1590</v>
      </c>
    </row>
    <row r="63" spans="1:18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O63">
        <v>61</v>
      </c>
      <c r="P63">
        <v>3100</v>
      </c>
      <c r="Q63">
        <v>1600</v>
      </c>
      <c r="R63">
        <v>1600</v>
      </c>
    </row>
    <row r="64" spans="1:18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O64">
        <v>62</v>
      </c>
      <c r="P64">
        <v>3150</v>
      </c>
      <c r="Q64">
        <v>1610</v>
      </c>
      <c r="R64">
        <v>1610</v>
      </c>
    </row>
    <row r="65" spans="1:18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O65">
        <v>63</v>
      </c>
      <c r="P65">
        <v>3200</v>
      </c>
      <c r="Q65">
        <v>1620</v>
      </c>
      <c r="R65">
        <v>1620</v>
      </c>
    </row>
    <row r="66" spans="1:18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O66">
        <v>64</v>
      </c>
      <c r="P66">
        <v>3250</v>
      </c>
      <c r="Q66">
        <v>1630</v>
      </c>
      <c r="R66">
        <v>1630</v>
      </c>
    </row>
    <row r="67" spans="1:18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O67">
        <v>65</v>
      </c>
      <c r="P67">
        <v>3300</v>
      </c>
      <c r="Q67">
        <v>1640</v>
      </c>
      <c r="R67">
        <v>1640</v>
      </c>
    </row>
    <row r="68" spans="1:18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O68">
        <v>66</v>
      </c>
      <c r="P68">
        <v>3350</v>
      </c>
      <c r="Q68">
        <v>1650</v>
      </c>
      <c r="R68">
        <v>1650</v>
      </c>
    </row>
    <row r="69" spans="1:18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O69">
        <v>67</v>
      </c>
      <c r="P69">
        <v>3400</v>
      </c>
      <c r="Q69">
        <v>1660</v>
      </c>
      <c r="R69">
        <v>1660</v>
      </c>
    </row>
    <row r="70" spans="1:18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O70">
        <v>68</v>
      </c>
      <c r="P70">
        <v>3450</v>
      </c>
      <c r="Q70">
        <v>1670</v>
      </c>
      <c r="R70">
        <v>1670</v>
      </c>
    </row>
    <row r="71" spans="1:18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O71">
        <v>69</v>
      </c>
      <c r="P71">
        <v>3500</v>
      </c>
      <c r="Q71">
        <v>1680</v>
      </c>
      <c r="R71">
        <v>1680</v>
      </c>
    </row>
    <row r="72" spans="1:18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O72">
        <v>70</v>
      </c>
      <c r="P72">
        <v>3550</v>
      </c>
      <c r="Q72">
        <v>1690</v>
      </c>
      <c r="R72">
        <v>1690</v>
      </c>
    </row>
    <row r="73" spans="1:18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O73">
        <v>71</v>
      </c>
      <c r="P73">
        <v>3600</v>
      </c>
      <c r="Q73">
        <v>1700</v>
      </c>
      <c r="R73">
        <v>1700</v>
      </c>
    </row>
    <row r="74" spans="1:18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O74">
        <v>72</v>
      </c>
      <c r="P74">
        <v>3650</v>
      </c>
      <c r="Q74">
        <v>1710</v>
      </c>
      <c r="R74">
        <v>1710</v>
      </c>
    </row>
    <row r="75" spans="1:18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O75">
        <v>73</v>
      </c>
      <c r="P75">
        <v>3700</v>
      </c>
      <c r="Q75">
        <v>1720</v>
      </c>
      <c r="R75">
        <v>1720</v>
      </c>
    </row>
    <row r="76" spans="1:18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O76">
        <v>74</v>
      </c>
      <c r="P76">
        <v>3750</v>
      </c>
      <c r="Q76">
        <v>1730</v>
      </c>
      <c r="R76">
        <v>1730</v>
      </c>
    </row>
    <row r="77" spans="1:18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O77">
        <v>75</v>
      </c>
      <c r="P77">
        <v>3800</v>
      </c>
      <c r="Q77">
        <v>1740</v>
      </c>
      <c r="R77">
        <v>1740</v>
      </c>
    </row>
    <row r="78" spans="1:18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O78">
        <v>76</v>
      </c>
      <c r="P78">
        <v>3850</v>
      </c>
      <c r="Q78">
        <v>1750</v>
      </c>
      <c r="R78">
        <v>1750</v>
      </c>
    </row>
    <row r="79" spans="1:18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O79">
        <v>77</v>
      </c>
      <c r="P79">
        <v>3900</v>
      </c>
      <c r="Q79">
        <v>1760</v>
      </c>
      <c r="R79">
        <v>1760</v>
      </c>
    </row>
    <row r="80" spans="1:18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O80">
        <v>78</v>
      </c>
      <c r="P80">
        <v>3950</v>
      </c>
      <c r="Q80">
        <v>1770</v>
      </c>
      <c r="R80">
        <v>1770</v>
      </c>
    </row>
    <row r="81" spans="1:18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O81">
        <v>79</v>
      </c>
      <c r="P81">
        <v>4000</v>
      </c>
      <c r="Q81">
        <v>1780</v>
      </c>
      <c r="R81">
        <v>1780</v>
      </c>
    </row>
    <row r="82" spans="1:18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O82">
        <v>80</v>
      </c>
      <c r="P82">
        <v>4050</v>
      </c>
      <c r="Q82">
        <v>1790</v>
      </c>
      <c r="R82">
        <v>1790</v>
      </c>
    </row>
    <row r="83" spans="1:18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O83">
        <v>81</v>
      </c>
      <c r="P83">
        <v>4100</v>
      </c>
      <c r="Q83">
        <v>1800</v>
      </c>
      <c r="R83">
        <v>1800</v>
      </c>
    </row>
    <row r="84" spans="1:18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O84">
        <v>82</v>
      </c>
      <c r="P84">
        <v>4150</v>
      </c>
      <c r="Q84">
        <v>1810</v>
      </c>
      <c r="R84">
        <v>1810</v>
      </c>
    </row>
    <row r="85" spans="1:18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O85">
        <v>83</v>
      </c>
      <c r="P85">
        <v>4200</v>
      </c>
      <c r="Q85">
        <v>1820</v>
      </c>
      <c r="R85">
        <v>1820</v>
      </c>
    </row>
    <row r="86" spans="1:18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O86">
        <v>84</v>
      </c>
      <c r="P86">
        <v>4250</v>
      </c>
      <c r="Q86">
        <v>1830</v>
      </c>
      <c r="R86">
        <v>1830</v>
      </c>
    </row>
    <row r="87" spans="1:18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O87">
        <v>85</v>
      </c>
      <c r="P87">
        <v>4300</v>
      </c>
      <c r="Q87">
        <v>1840</v>
      </c>
      <c r="R87">
        <v>1840</v>
      </c>
    </row>
    <row r="88" spans="1:18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O88">
        <v>86</v>
      </c>
      <c r="P88">
        <v>4350</v>
      </c>
      <c r="Q88">
        <v>1850</v>
      </c>
      <c r="R88">
        <v>1850</v>
      </c>
    </row>
    <row r="89" spans="1:18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O89">
        <v>87</v>
      </c>
      <c r="P89">
        <v>4400</v>
      </c>
      <c r="Q89">
        <v>1860</v>
      </c>
      <c r="R89">
        <v>1860</v>
      </c>
    </row>
    <row r="90" spans="1:18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O90">
        <v>88</v>
      </c>
      <c r="P90">
        <v>4450</v>
      </c>
      <c r="Q90">
        <v>1870</v>
      </c>
      <c r="R90">
        <v>1870</v>
      </c>
    </row>
    <row r="91" spans="1:18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O91">
        <v>89</v>
      </c>
      <c r="P91">
        <v>4500</v>
      </c>
      <c r="Q91">
        <v>1880</v>
      </c>
      <c r="R91">
        <v>1880</v>
      </c>
    </row>
    <row r="92" spans="1:18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O92">
        <v>90</v>
      </c>
      <c r="P92">
        <v>4550</v>
      </c>
      <c r="Q92">
        <v>1890</v>
      </c>
      <c r="R92">
        <v>1890</v>
      </c>
    </row>
    <row r="93" spans="1:18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O93">
        <v>91</v>
      </c>
      <c r="P93">
        <v>4600</v>
      </c>
      <c r="Q93">
        <v>1900</v>
      </c>
      <c r="R93">
        <v>1900</v>
      </c>
    </row>
    <row r="94" spans="1:18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O94">
        <v>92</v>
      </c>
      <c r="P94">
        <v>4650</v>
      </c>
      <c r="Q94">
        <v>1910</v>
      </c>
      <c r="R94">
        <v>1910</v>
      </c>
    </row>
    <row r="95" spans="1:18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O95">
        <v>93</v>
      </c>
      <c r="P95">
        <v>4700</v>
      </c>
      <c r="Q95">
        <v>1920</v>
      </c>
      <c r="R95">
        <v>1920</v>
      </c>
    </row>
    <row r="96" spans="1:18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O96">
        <v>94</v>
      </c>
      <c r="P96">
        <v>4750</v>
      </c>
      <c r="Q96">
        <v>1930</v>
      </c>
      <c r="R96">
        <v>1930</v>
      </c>
    </row>
    <row r="97" spans="1:18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O97">
        <v>95</v>
      </c>
      <c r="P97">
        <v>4800</v>
      </c>
      <c r="Q97">
        <v>1940</v>
      </c>
      <c r="R97">
        <v>1940</v>
      </c>
    </row>
    <row r="98" spans="1:18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O98">
        <v>96</v>
      </c>
      <c r="P98">
        <v>4850</v>
      </c>
      <c r="Q98">
        <v>1950</v>
      </c>
      <c r="R98">
        <v>1950</v>
      </c>
    </row>
    <row r="99" spans="1:18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O99">
        <v>97</v>
      </c>
      <c r="P99">
        <v>4900</v>
      </c>
      <c r="Q99">
        <v>1960</v>
      </c>
      <c r="R99">
        <v>1960</v>
      </c>
    </row>
    <row r="100" spans="1:18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O100">
        <v>98</v>
      </c>
      <c r="P100">
        <v>4950</v>
      </c>
      <c r="Q100">
        <v>1970</v>
      </c>
      <c r="R100">
        <v>1970</v>
      </c>
    </row>
    <row r="101" spans="1:18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O101">
        <v>99</v>
      </c>
      <c r="P101">
        <v>5000</v>
      </c>
      <c r="Q101">
        <v>1980</v>
      </c>
      <c r="R101">
        <v>1980</v>
      </c>
    </row>
    <row r="102" spans="1:18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O102">
        <v>100</v>
      </c>
      <c r="P102">
        <v>5050</v>
      </c>
      <c r="Q102">
        <v>1990</v>
      </c>
      <c r="R102">
        <v>1990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BFD5E-D230-4714-BD12-D56D07908B02}">
  <sheetPr codeName="Sheet13">
    <tabColor rgb="FF92D050"/>
  </sheetPr>
  <dimension ref="A1:X52"/>
  <sheetViews>
    <sheetView topLeftCell="G1" workbookViewId="0">
      <selection activeCell="R2" sqref="R2"/>
    </sheetView>
  </sheetViews>
  <sheetFormatPr baseColWidth="10" defaultColWidth="8.83203125" defaultRowHeight="15"/>
  <cols>
    <col min="14" max="14" width="9.6640625" customWidth="1"/>
    <col min="15" max="17" width="12.5" customWidth="1"/>
    <col min="18" max="18" width="15.1640625" bestFit="1" customWidth="1"/>
    <col min="19" max="19" width="16.6640625" customWidth="1"/>
    <col min="20" max="20" width="12.6640625" customWidth="1"/>
    <col min="21" max="21" width="10.1640625" customWidth="1"/>
    <col min="22" max="22" width="19" customWidth="1"/>
    <col min="23" max="23" width="13.33203125" customWidth="1"/>
    <col min="24" max="24" width="12.6640625" style="10" customWidth="1"/>
  </cols>
  <sheetData>
    <row r="1" spans="1:24">
      <c r="A1" s="4" t="s">
        <v>81</v>
      </c>
      <c r="B1" s="5" t="s">
        <v>82</v>
      </c>
      <c r="C1" s="5" t="s">
        <v>83</v>
      </c>
      <c r="D1" s="5" t="s">
        <v>31</v>
      </c>
      <c r="E1" s="5" t="s">
        <v>33</v>
      </c>
      <c r="F1" s="5" t="s">
        <v>35</v>
      </c>
      <c r="G1" s="5" t="s">
        <v>84</v>
      </c>
      <c r="H1" s="5" t="s">
        <v>85</v>
      </c>
      <c r="I1" s="5" t="s">
        <v>86</v>
      </c>
      <c r="J1" s="5" t="s">
        <v>87</v>
      </c>
      <c r="M1" s="7" t="s">
        <v>88</v>
      </c>
      <c r="N1" s="7" t="s">
        <v>149</v>
      </c>
      <c r="O1" t="s">
        <v>341</v>
      </c>
      <c r="P1" t="s">
        <v>342</v>
      </c>
      <c r="Q1" t="s">
        <v>343</v>
      </c>
      <c r="R1" t="s">
        <v>344</v>
      </c>
      <c r="S1" t="s">
        <v>345</v>
      </c>
      <c r="T1" t="s">
        <v>346</v>
      </c>
      <c r="U1" t="s">
        <v>347</v>
      </c>
      <c r="V1" t="s">
        <v>348</v>
      </c>
      <c r="W1" t="s">
        <v>349</v>
      </c>
      <c r="X1" s="10" t="s">
        <v>350</v>
      </c>
    </row>
    <row r="2" spans="1:24">
      <c r="A2" s="4" t="s">
        <v>91</v>
      </c>
      <c r="B2" s="5" t="s">
        <v>92</v>
      </c>
      <c r="C2" s="5" t="s">
        <v>93</v>
      </c>
      <c r="D2" s="5" t="s">
        <v>94</v>
      </c>
      <c r="E2" s="5" t="s">
        <v>95</v>
      </c>
      <c r="F2" s="5" t="s">
        <v>96</v>
      </c>
      <c r="G2" s="5" t="s">
        <v>97</v>
      </c>
      <c r="H2" s="5" t="s">
        <v>98</v>
      </c>
      <c r="I2" s="5" t="s">
        <v>99</v>
      </c>
      <c r="J2" s="5" t="s">
        <v>100</v>
      </c>
      <c r="M2" s="6"/>
      <c r="N2" s="7" t="s">
        <v>351</v>
      </c>
      <c r="O2" t="s">
        <v>352</v>
      </c>
      <c r="P2" t="s">
        <v>353</v>
      </c>
      <c r="Q2" t="s">
        <v>354</v>
      </c>
      <c r="R2" t="s">
        <v>541</v>
      </c>
      <c r="S2" t="s">
        <v>355</v>
      </c>
      <c r="T2" t="s">
        <v>356</v>
      </c>
      <c r="U2" t="s">
        <v>357</v>
      </c>
      <c r="V2" t="s">
        <v>358</v>
      </c>
      <c r="W2" t="s">
        <v>359</v>
      </c>
      <c r="X2" s="10" t="s">
        <v>360</v>
      </c>
    </row>
    <row r="3" spans="1:24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O3*10000+P3*100+Q3</f>
        <v>10101</v>
      </c>
      <c r="O3">
        <v>1</v>
      </c>
      <c r="P3">
        <v>1</v>
      </c>
      <c r="Q3">
        <v>1</v>
      </c>
      <c r="R3">
        <f>O3*1000</f>
        <v>1000</v>
      </c>
      <c r="S3" t="s">
        <v>361</v>
      </c>
      <c r="T3">
        <v>1</v>
      </c>
      <c r="U3">
        <f>(P3+O3*5-5)*3</f>
        <v>3</v>
      </c>
      <c r="V3" t="s">
        <v>362</v>
      </c>
      <c r="W3">
        <v>15</v>
      </c>
      <c r="X3" s="10">
        <v>0</v>
      </c>
    </row>
    <row r="4" spans="1:24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52" si="0">O4*10000+P4*100+Q4</f>
        <v>10102</v>
      </c>
      <c r="O4">
        <v>1</v>
      </c>
      <c r="P4">
        <v>1</v>
      </c>
      <c r="Q4">
        <v>2</v>
      </c>
      <c r="R4">
        <f t="shared" ref="R4:R52" si="1">O4*1000</f>
        <v>1000</v>
      </c>
      <c r="S4" t="s">
        <v>363</v>
      </c>
      <c r="T4">
        <v>1</v>
      </c>
      <c r="U4">
        <f t="shared" ref="U4:U52" si="2">(P4+O4*5-5)*3</f>
        <v>3</v>
      </c>
      <c r="V4" t="s">
        <v>362</v>
      </c>
      <c r="W4">
        <v>15</v>
      </c>
      <c r="X4" s="10">
        <v>0</v>
      </c>
    </row>
    <row r="5" spans="1:24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10103</v>
      </c>
      <c r="O5">
        <v>1</v>
      </c>
      <c r="P5">
        <v>1</v>
      </c>
      <c r="Q5">
        <v>3</v>
      </c>
      <c r="R5">
        <f t="shared" si="1"/>
        <v>1000</v>
      </c>
      <c r="S5" t="s">
        <v>364</v>
      </c>
      <c r="T5">
        <v>1</v>
      </c>
      <c r="U5">
        <f t="shared" si="2"/>
        <v>3</v>
      </c>
      <c r="V5" t="s">
        <v>362</v>
      </c>
      <c r="W5">
        <v>15</v>
      </c>
      <c r="X5" s="10">
        <v>0</v>
      </c>
    </row>
    <row r="6" spans="1:24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10104</v>
      </c>
      <c r="O6">
        <v>1</v>
      </c>
      <c r="P6">
        <v>1</v>
      </c>
      <c r="Q6">
        <v>4</v>
      </c>
      <c r="R6">
        <f t="shared" si="1"/>
        <v>1000</v>
      </c>
      <c r="S6" t="s">
        <v>365</v>
      </c>
      <c r="T6">
        <v>1</v>
      </c>
      <c r="U6">
        <f t="shared" si="2"/>
        <v>3</v>
      </c>
      <c r="V6" t="s">
        <v>362</v>
      </c>
      <c r="W6">
        <v>15</v>
      </c>
      <c r="X6" s="10">
        <v>0</v>
      </c>
    </row>
    <row r="7" spans="1:24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10105</v>
      </c>
      <c r="O7">
        <v>1</v>
      </c>
      <c r="P7">
        <v>1</v>
      </c>
      <c r="Q7">
        <v>5</v>
      </c>
      <c r="R7">
        <f t="shared" si="1"/>
        <v>1000</v>
      </c>
      <c r="S7" t="s">
        <v>366</v>
      </c>
      <c r="T7">
        <v>1</v>
      </c>
      <c r="U7">
        <f t="shared" si="2"/>
        <v>3</v>
      </c>
      <c r="V7" t="s">
        <v>362</v>
      </c>
      <c r="W7">
        <v>15</v>
      </c>
      <c r="X7" s="10" t="s">
        <v>367</v>
      </c>
    </row>
    <row r="8" spans="1:24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10201</v>
      </c>
      <c r="O8">
        <v>1</v>
      </c>
      <c r="P8">
        <v>2</v>
      </c>
      <c r="Q8">
        <v>1</v>
      </c>
      <c r="R8">
        <f t="shared" si="1"/>
        <v>1000</v>
      </c>
      <c r="S8" t="s">
        <v>361</v>
      </c>
      <c r="T8">
        <v>1</v>
      </c>
      <c r="U8">
        <f t="shared" si="2"/>
        <v>6</v>
      </c>
      <c r="V8" t="s">
        <v>368</v>
      </c>
      <c r="W8">
        <v>15</v>
      </c>
      <c r="X8" s="10">
        <v>0</v>
      </c>
    </row>
    <row r="9" spans="1:24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>
        <f t="shared" si="0"/>
        <v>10202</v>
      </c>
      <c r="O9">
        <v>1</v>
      </c>
      <c r="P9">
        <v>2</v>
      </c>
      <c r="Q9">
        <v>2</v>
      </c>
      <c r="R9">
        <f t="shared" si="1"/>
        <v>1000</v>
      </c>
      <c r="S9" t="s">
        <v>363</v>
      </c>
      <c r="T9">
        <v>1</v>
      </c>
      <c r="U9">
        <f t="shared" si="2"/>
        <v>6</v>
      </c>
      <c r="V9" t="s">
        <v>368</v>
      </c>
      <c r="W9">
        <v>15</v>
      </c>
      <c r="X9" s="10">
        <v>0</v>
      </c>
    </row>
    <row r="10" spans="1:24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>
        <f t="shared" si="0"/>
        <v>10203</v>
      </c>
      <c r="O10">
        <v>1</v>
      </c>
      <c r="P10">
        <v>2</v>
      </c>
      <c r="Q10">
        <v>3</v>
      </c>
      <c r="R10">
        <f t="shared" si="1"/>
        <v>1000</v>
      </c>
      <c r="S10" t="s">
        <v>364</v>
      </c>
      <c r="T10">
        <v>1</v>
      </c>
      <c r="U10">
        <f t="shared" si="2"/>
        <v>6</v>
      </c>
      <c r="V10" t="s">
        <v>368</v>
      </c>
      <c r="W10">
        <v>15</v>
      </c>
      <c r="X10" s="10">
        <v>0</v>
      </c>
    </row>
    <row r="11" spans="1:24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>
        <f t="shared" si="0"/>
        <v>10204</v>
      </c>
      <c r="O11">
        <v>1</v>
      </c>
      <c r="P11">
        <v>2</v>
      </c>
      <c r="Q11">
        <v>4</v>
      </c>
      <c r="R11">
        <f t="shared" si="1"/>
        <v>1000</v>
      </c>
      <c r="S11" t="s">
        <v>365</v>
      </c>
      <c r="T11">
        <v>1</v>
      </c>
      <c r="U11">
        <f t="shared" si="2"/>
        <v>6</v>
      </c>
      <c r="V11" t="s">
        <v>368</v>
      </c>
      <c r="W11">
        <v>15</v>
      </c>
      <c r="X11" s="10">
        <v>0</v>
      </c>
    </row>
    <row r="12" spans="1:24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>
        <f t="shared" si="0"/>
        <v>10205</v>
      </c>
      <c r="O12">
        <v>1</v>
      </c>
      <c r="P12">
        <v>2</v>
      </c>
      <c r="Q12">
        <v>5</v>
      </c>
      <c r="R12">
        <f t="shared" si="1"/>
        <v>1000</v>
      </c>
      <c r="S12" t="s">
        <v>366</v>
      </c>
      <c r="T12">
        <v>1</v>
      </c>
      <c r="U12">
        <f t="shared" si="2"/>
        <v>6</v>
      </c>
      <c r="V12" t="s">
        <v>368</v>
      </c>
      <c r="W12">
        <v>15</v>
      </c>
      <c r="X12" s="10" t="s">
        <v>367</v>
      </c>
    </row>
    <row r="13" spans="1:24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>
        <f t="shared" si="0"/>
        <v>10301</v>
      </c>
      <c r="O13">
        <v>1</v>
      </c>
      <c r="P13">
        <v>3</v>
      </c>
      <c r="Q13">
        <v>1</v>
      </c>
      <c r="R13">
        <f t="shared" si="1"/>
        <v>1000</v>
      </c>
      <c r="S13" t="s">
        <v>361</v>
      </c>
      <c r="T13">
        <v>1</v>
      </c>
      <c r="U13">
        <f t="shared" si="2"/>
        <v>9</v>
      </c>
      <c r="V13" t="s">
        <v>368</v>
      </c>
      <c r="W13">
        <v>15</v>
      </c>
      <c r="X13" s="10">
        <v>0</v>
      </c>
    </row>
    <row r="14" spans="1:24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>
        <f t="shared" si="0"/>
        <v>10302</v>
      </c>
      <c r="O14">
        <v>1</v>
      </c>
      <c r="P14">
        <v>3</v>
      </c>
      <c r="Q14">
        <v>2</v>
      </c>
      <c r="R14">
        <f t="shared" si="1"/>
        <v>1000</v>
      </c>
      <c r="S14" t="s">
        <v>363</v>
      </c>
      <c r="T14">
        <v>1</v>
      </c>
      <c r="U14">
        <f t="shared" si="2"/>
        <v>9</v>
      </c>
      <c r="V14" t="s">
        <v>368</v>
      </c>
      <c r="W14">
        <v>15</v>
      </c>
      <c r="X14" s="10">
        <v>0</v>
      </c>
    </row>
    <row r="15" spans="1:24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>
        <f t="shared" si="0"/>
        <v>10303</v>
      </c>
      <c r="O15">
        <v>1</v>
      </c>
      <c r="P15">
        <v>3</v>
      </c>
      <c r="Q15">
        <v>3</v>
      </c>
      <c r="R15">
        <f t="shared" si="1"/>
        <v>1000</v>
      </c>
      <c r="S15" t="s">
        <v>364</v>
      </c>
      <c r="T15">
        <v>1</v>
      </c>
      <c r="U15">
        <f t="shared" si="2"/>
        <v>9</v>
      </c>
      <c r="V15" t="s">
        <v>368</v>
      </c>
      <c r="W15">
        <v>15</v>
      </c>
      <c r="X15" s="10">
        <v>0</v>
      </c>
    </row>
    <row r="16" spans="1:24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>
        <f t="shared" si="0"/>
        <v>10304</v>
      </c>
      <c r="O16">
        <v>1</v>
      </c>
      <c r="P16">
        <v>3</v>
      </c>
      <c r="Q16">
        <v>4</v>
      </c>
      <c r="R16">
        <f t="shared" si="1"/>
        <v>1000</v>
      </c>
      <c r="S16" t="s">
        <v>365</v>
      </c>
      <c r="T16">
        <v>1</v>
      </c>
      <c r="U16">
        <f t="shared" si="2"/>
        <v>9</v>
      </c>
      <c r="V16" t="s">
        <v>368</v>
      </c>
      <c r="W16">
        <v>15</v>
      </c>
      <c r="X16" s="10">
        <v>0</v>
      </c>
    </row>
    <row r="17" spans="1:24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>
        <f t="shared" si="0"/>
        <v>10305</v>
      </c>
      <c r="O17">
        <v>1</v>
      </c>
      <c r="P17">
        <v>3</v>
      </c>
      <c r="Q17">
        <v>5</v>
      </c>
      <c r="R17">
        <f t="shared" si="1"/>
        <v>1000</v>
      </c>
      <c r="S17" t="s">
        <v>366</v>
      </c>
      <c r="T17">
        <v>1</v>
      </c>
      <c r="U17">
        <f t="shared" si="2"/>
        <v>9</v>
      </c>
      <c r="V17" t="s">
        <v>368</v>
      </c>
      <c r="W17">
        <v>15</v>
      </c>
      <c r="X17" s="10" t="s">
        <v>367</v>
      </c>
    </row>
    <row r="18" spans="1:24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>
        <f t="shared" si="0"/>
        <v>10401</v>
      </c>
      <c r="O18">
        <v>1</v>
      </c>
      <c r="P18">
        <v>4</v>
      </c>
      <c r="Q18">
        <v>1</v>
      </c>
      <c r="R18">
        <f t="shared" si="1"/>
        <v>1000</v>
      </c>
      <c r="S18" t="s">
        <v>361</v>
      </c>
      <c r="T18">
        <v>1</v>
      </c>
      <c r="U18">
        <f t="shared" si="2"/>
        <v>12</v>
      </c>
      <c r="V18" t="s">
        <v>368</v>
      </c>
      <c r="W18">
        <v>15</v>
      </c>
      <c r="X18" s="10">
        <v>0</v>
      </c>
    </row>
    <row r="19" spans="1:24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>
        <f t="shared" si="0"/>
        <v>10402</v>
      </c>
      <c r="O19">
        <v>1</v>
      </c>
      <c r="P19">
        <v>4</v>
      </c>
      <c r="Q19">
        <v>2</v>
      </c>
      <c r="R19">
        <f t="shared" si="1"/>
        <v>1000</v>
      </c>
      <c r="S19" t="s">
        <v>363</v>
      </c>
      <c r="T19">
        <v>1</v>
      </c>
      <c r="U19">
        <f t="shared" si="2"/>
        <v>12</v>
      </c>
      <c r="V19" t="s">
        <v>368</v>
      </c>
      <c r="W19">
        <v>15</v>
      </c>
      <c r="X19" s="10">
        <v>0</v>
      </c>
    </row>
    <row r="20" spans="1:24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>
        <f t="shared" si="0"/>
        <v>10403</v>
      </c>
      <c r="O20">
        <v>1</v>
      </c>
      <c r="P20">
        <v>4</v>
      </c>
      <c r="Q20">
        <v>3</v>
      </c>
      <c r="R20">
        <f t="shared" si="1"/>
        <v>1000</v>
      </c>
      <c r="S20" t="s">
        <v>364</v>
      </c>
      <c r="T20">
        <v>1</v>
      </c>
      <c r="U20">
        <f t="shared" si="2"/>
        <v>12</v>
      </c>
      <c r="V20" t="s">
        <v>368</v>
      </c>
      <c r="W20">
        <v>15</v>
      </c>
      <c r="X20" s="10">
        <v>0</v>
      </c>
    </row>
    <row r="21" spans="1:24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>
        <f t="shared" si="0"/>
        <v>10404</v>
      </c>
      <c r="O21">
        <v>1</v>
      </c>
      <c r="P21">
        <v>4</v>
      </c>
      <c r="Q21">
        <v>4</v>
      </c>
      <c r="R21">
        <f t="shared" si="1"/>
        <v>1000</v>
      </c>
      <c r="S21" t="s">
        <v>365</v>
      </c>
      <c r="T21">
        <v>1</v>
      </c>
      <c r="U21">
        <f t="shared" si="2"/>
        <v>12</v>
      </c>
      <c r="V21" t="s">
        <v>368</v>
      </c>
      <c r="W21">
        <v>15</v>
      </c>
      <c r="X21" s="10">
        <v>0</v>
      </c>
    </row>
    <row r="22" spans="1:24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>
        <f t="shared" si="0"/>
        <v>10405</v>
      </c>
      <c r="O22">
        <v>1</v>
      </c>
      <c r="P22">
        <v>4</v>
      </c>
      <c r="Q22">
        <v>5</v>
      </c>
      <c r="R22">
        <f t="shared" si="1"/>
        <v>1000</v>
      </c>
      <c r="S22" t="s">
        <v>366</v>
      </c>
      <c r="T22">
        <v>1</v>
      </c>
      <c r="U22">
        <f t="shared" si="2"/>
        <v>12</v>
      </c>
      <c r="V22" t="s">
        <v>368</v>
      </c>
      <c r="W22">
        <v>15</v>
      </c>
      <c r="X22" s="10" t="s">
        <v>367</v>
      </c>
    </row>
    <row r="23" spans="1:24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>
        <f t="shared" si="0"/>
        <v>10501</v>
      </c>
      <c r="O23">
        <v>1</v>
      </c>
      <c r="P23">
        <v>5</v>
      </c>
      <c r="Q23">
        <v>1</v>
      </c>
      <c r="R23">
        <f t="shared" si="1"/>
        <v>1000</v>
      </c>
      <c r="S23" t="s">
        <v>361</v>
      </c>
      <c r="T23">
        <v>1</v>
      </c>
      <c r="U23">
        <f t="shared" si="2"/>
        <v>15</v>
      </c>
      <c r="V23" t="s">
        <v>368</v>
      </c>
      <c r="W23">
        <v>15</v>
      </c>
      <c r="X23" s="10">
        <v>0</v>
      </c>
    </row>
    <row r="24" spans="1:24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>
        <f t="shared" si="0"/>
        <v>10502</v>
      </c>
      <c r="O24">
        <v>1</v>
      </c>
      <c r="P24">
        <v>5</v>
      </c>
      <c r="Q24">
        <v>2</v>
      </c>
      <c r="R24">
        <f t="shared" si="1"/>
        <v>1000</v>
      </c>
      <c r="S24" t="s">
        <v>363</v>
      </c>
      <c r="T24">
        <v>1</v>
      </c>
      <c r="U24">
        <f t="shared" si="2"/>
        <v>15</v>
      </c>
      <c r="V24" t="s">
        <v>368</v>
      </c>
      <c r="W24">
        <v>15</v>
      </c>
      <c r="X24" s="10">
        <v>0</v>
      </c>
    </row>
    <row r="25" spans="1:24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>
        <f t="shared" si="0"/>
        <v>10503</v>
      </c>
      <c r="O25">
        <v>1</v>
      </c>
      <c r="P25">
        <v>5</v>
      </c>
      <c r="Q25">
        <v>3</v>
      </c>
      <c r="R25">
        <f t="shared" si="1"/>
        <v>1000</v>
      </c>
      <c r="S25" t="s">
        <v>364</v>
      </c>
      <c r="T25">
        <v>1</v>
      </c>
      <c r="U25">
        <f t="shared" si="2"/>
        <v>15</v>
      </c>
      <c r="V25" t="s">
        <v>368</v>
      </c>
      <c r="W25">
        <v>15</v>
      </c>
      <c r="X25" s="10">
        <v>0</v>
      </c>
    </row>
    <row r="26" spans="1:24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N26">
        <f t="shared" si="0"/>
        <v>10504</v>
      </c>
      <c r="O26">
        <v>1</v>
      </c>
      <c r="P26">
        <v>5</v>
      </c>
      <c r="Q26">
        <v>4</v>
      </c>
      <c r="R26">
        <f t="shared" si="1"/>
        <v>1000</v>
      </c>
      <c r="S26" t="s">
        <v>365</v>
      </c>
      <c r="T26">
        <v>1</v>
      </c>
      <c r="U26">
        <f t="shared" si="2"/>
        <v>15</v>
      </c>
      <c r="V26" t="s">
        <v>368</v>
      </c>
      <c r="W26">
        <v>15</v>
      </c>
      <c r="X26" s="10">
        <v>0</v>
      </c>
    </row>
    <row r="27" spans="1:24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N27">
        <f t="shared" si="0"/>
        <v>10505</v>
      </c>
      <c r="O27">
        <v>1</v>
      </c>
      <c r="P27">
        <v>5</v>
      </c>
      <c r="Q27">
        <v>5</v>
      </c>
      <c r="R27">
        <f t="shared" si="1"/>
        <v>1000</v>
      </c>
      <c r="S27" t="s">
        <v>366</v>
      </c>
      <c r="T27">
        <v>1</v>
      </c>
      <c r="U27">
        <f t="shared" si="2"/>
        <v>15</v>
      </c>
      <c r="V27" t="s">
        <v>368</v>
      </c>
      <c r="W27">
        <v>15</v>
      </c>
      <c r="X27" s="10" t="s">
        <v>367</v>
      </c>
    </row>
    <row r="28" spans="1:24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N28">
        <f t="shared" si="0"/>
        <v>20101</v>
      </c>
      <c r="O28">
        <v>2</v>
      </c>
      <c r="P28">
        <v>1</v>
      </c>
      <c r="Q28">
        <v>1</v>
      </c>
      <c r="R28">
        <f t="shared" si="1"/>
        <v>2000</v>
      </c>
      <c r="S28" t="s">
        <v>361</v>
      </c>
      <c r="T28">
        <v>1</v>
      </c>
      <c r="U28">
        <f t="shared" si="2"/>
        <v>18</v>
      </c>
      <c r="V28" t="s">
        <v>368</v>
      </c>
      <c r="W28">
        <v>15</v>
      </c>
      <c r="X28" s="10">
        <v>0</v>
      </c>
    </row>
    <row r="29" spans="1:24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N29">
        <f t="shared" si="0"/>
        <v>20102</v>
      </c>
      <c r="O29">
        <v>2</v>
      </c>
      <c r="P29">
        <v>1</v>
      </c>
      <c r="Q29">
        <v>2</v>
      </c>
      <c r="R29">
        <f t="shared" si="1"/>
        <v>2000</v>
      </c>
      <c r="S29" t="s">
        <v>363</v>
      </c>
      <c r="T29">
        <v>1</v>
      </c>
      <c r="U29">
        <f t="shared" si="2"/>
        <v>18</v>
      </c>
      <c r="V29" t="s">
        <v>368</v>
      </c>
      <c r="W29">
        <v>15</v>
      </c>
      <c r="X29" s="10">
        <v>0</v>
      </c>
    </row>
    <row r="30" spans="1:24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N30">
        <f t="shared" si="0"/>
        <v>20103</v>
      </c>
      <c r="O30">
        <v>2</v>
      </c>
      <c r="P30">
        <v>1</v>
      </c>
      <c r="Q30">
        <v>3</v>
      </c>
      <c r="R30">
        <f t="shared" si="1"/>
        <v>2000</v>
      </c>
      <c r="S30" t="s">
        <v>364</v>
      </c>
      <c r="T30">
        <v>1</v>
      </c>
      <c r="U30">
        <f t="shared" si="2"/>
        <v>18</v>
      </c>
      <c r="V30" t="s">
        <v>368</v>
      </c>
      <c r="W30">
        <v>15</v>
      </c>
      <c r="X30" s="10">
        <v>0</v>
      </c>
    </row>
    <row r="31" spans="1:24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N31">
        <f t="shared" si="0"/>
        <v>20104</v>
      </c>
      <c r="O31">
        <v>2</v>
      </c>
      <c r="P31">
        <v>1</v>
      </c>
      <c r="Q31">
        <v>4</v>
      </c>
      <c r="R31">
        <f t="shared" si="1"/>
        <v>2000</v>
      </c>
      <c r="S31" t="s">
        <v>365</v>
      </c>
      <c r="T31">
        <v>1</v>
      </c>
      <c r="U31">
        <f t="shared" si="2"/>
        <v>18</v>
      </c>
      <c r="V31" t="s">
        <v>368</v>
      </c>
      <c r="W31">
        <v>15</v>
      </c>
      <c r="X31" s="10">
        <v>0</v>
      </c>
    </row>
    <row r="32" spans="1:24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N32">
        <f t="shared" si="0"/>
        <v>20105</v>
      </c>
      <c r="O32">
        <v>2</v>
      </c>
      <c r="P32">
        <v>1</v>
      </c>
      <c r="Q32">
        <v>5</v>
      </c>
      <c r="R32">
        <f t="shared" si="1"/>
        <v>2000</v>
      </c>
      <c r="S32" t="s">
        <v>366</v>
      </c>
      <c r="T32">
        <v>1</v>
      </c>
      <c r="U32">
        <f t="shared" si="2"/>
        <v>18</v>
      </c>
      <c r="V32" t="s">
        <v>368</v>
      </c>
      <c r="W32">
        <v>15</v>
      </c>
      <c r="X32" s="10" t="s">
        <v>367</v>
      </c>
    </row>
    <row r="33" spans="1:24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N33">
        <f t="shared" si="0"/>
        <v>20201</v>
      </c>
      <c r="O33">
        <v>2</v>
      </c>
      <c r="P33">
        <v>2</v>
      </c>
      <c r="Q33">
        <v>1</v>
      </c>
      <c r="R33">
        <f t="shared" si="1"/>
        <v>2000</v>
      </c>
      <c r="S33" t="s">
        <v>361</v>
      </c>
      <c r="T33">
        <v>1</v>
      </c>
      <c r="U33">
        <f t="shared" si="2"/>
        <v>21</v>
      </c>
      <c r="V33" t="s">
        <v>368</v>
      </c>
      <c r="W33">
        <v>15</v>
      </c>
      <c r="X33" s="10">
        <v>0</v>
      </c>
    </row>
    <row r="34" spans="1:24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N34">
        <f t="shared" si="0"/>
        <v>20202</v>
      </c>
      <c r="O34">
        <v>2</v>
      </c>
      <c r="P34">
        <v>2</v>
      </c>
      <c r="Q34">
        <v>2</v>
      </c>
      <c r="R34">
        <f t="shared" si="1"/>
        <v>2000</v>
      </c>
      <c r="S34" t="s">
        <v>363</v>
      </c>
      <c r="T34">
        <v>1</v>
      </c>
      <c r="U34">
        <f t="shared" si="2"/>
        <v>21</v>
      </c>
      <c r="V34" t="s">
        <v>368</v>
      </c>
      <c r="W34">
        <v>15</v>
      </c>
      <c r="X34" s="10">
        <v>0</v>
      </c>
    </row>
    <row r="35" spans="1:24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N35">
        <f t="shared" si="0"/>
        <v>20203</v>
      </c>
      <c r="O35">
        <v>2</v>
      </c>
      <c r="P35">
        <v>2</v>
      </c>
      <c r="Q35">
        <v>3</v>
      </c>
      <c r="R35">
        <f t="shared" si="1"/>
        <v>2000</v>
      </c>
      <c r="S35" t="s">
        <v>364</v>
      </c>
      <c r="T35">
        <v>1</v>
      </c>
      <c r="U35">
        <f t="shared" si="2"/>
        <v>21</v>
      </c>
      <c r="V35" t="s">
        <v>368</v>
      </c>
      <c r="W35">
        <v>15</v>
      </c>
      <c r="X35" s="10">
        <v>0</v>
      </c>
    </row>
    <row r="36" spans="1:24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N36">
        <f t="shared" si="0"/>
        <v>20204</v>
      </c>
      <c r="O36">
        <v>2</v>
      </c>
      <c r="P36">
        <v>2</v>
      </c>
      <c r="Q36">
        <v>4</v>
      </c>
      <c r="R36">
        <f t="shared" si="1"/>
        <v>2000</v>
      </c>
      <c r="S36" t="s">
        <v>365</v>
      </c>
      <c r="T36">
        <v>1</v>
      </c>
      <c r="U36">
        <f t="shared" si="2"/>
        <v>21</v>
      </c>
      <c r="V36" t="s">
        <v>368</v>
      </c>
      <c r="W36">
        <v>15</v>
      </c>
      <c r="X36" s="10">
        <v>0</v>
      </c>
    </row>
    <row r="37" spans="1:24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N37">
        <f t="shared" si="0"/>
        <v>20205</v>
      </c>
      <c r="O37">
        <v>2</v>
      </c>
      <c r="P37">
        <v>2</v>
      </c>
      <c r="Q37">
        <v>5</v>
      </c>
      <c r="R37">
        <f t="shared" si="1"/>
        <v>2000</v>
      </c>
      <c r="S37" t="s">
        <v>366</v>
      </c>
      <c r="T37">
        <v>1</v>
      </c>
      <c r="U37">
        <f t="shared" si="2"/>
        <v>21</v>
      </c>
      <c r="V37" t="s">
        <v>368</v>
      </c>
      <c r="W37">
        <v>15</v>
      </c>
      <c r="X37" s="10" t="s">
        <v>367</v>
      </c>
    </row>
    <row r="38" spans="1:24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N38">
        <f t="shared" si="0"/>
        <v>20301</v>
      </c>
      <c r="O38">
        <v>2</v>
      </c>
      <c r="P38">
        <v>3</v>
      </c>
      <c r="Q38">
        <v>1</v>
      </c>
      <c r="R38">
        <f t="shared" si="1"/>
        <v>2000</v>
      </c>
      <c r="S38" t="s">
        <v>361</v>
      </c>
      <c r="T38">
        <v>1</v>
      </c>
      <c r="U38">
        <f t="shared" si="2"/>
        <v>24</v>
      </c>
      <c r="V38" t="s">
        <v>368</v>
      </c>
      <c r="W38">
        <v>15</v>
      </c>
      <c r="X38" s="10">
        <v>0</v>
      </c>
    </row>
    <row r="39" spans="1:24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N39">
        <f t="shared" si="0"/>
        <v>20302</v>
      </c>
      <c r="O39">
        <v>2</v>
      </c>
      <c r="P39">
        <v>3</v>
      </c>
      <c r="Q39">
        <v>2</v>
      </c>
      <c r="R39">
        <f t="shared" si="1"/>
        <v>2000</v>
      </c>
      <c r="S39" t="s">
        <v>363</v>
      </c>
      <c r="T39">
        <v>1</v>
      </c>
      <c r="U39">
        <f t="shared" si="2"/>
        <v>24</v>
      </c>
      <c r="V39" t="s">
        <v>368</v>
      </c>
      <c r="W39">
        <v>15</v>
      </c>
      <c r="X39" s="10">
        <v>0</v>
      </c>
    </row>
    <row r="40" spans="1:24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N40">
        <f t="shared" si="0"/>
        <v>20303</v>
      </c>
      <c r="O40">
        <v>2</v>
      </c>
      <c r="P40">
        <v>3</v>
      </c>
      <c r="Q40">
        <v>3</v>
      </c>
      <c r="R40">
        <f t="shared" si="1"/>
        <v>2000</v>
      </c>
      <c r="S40" t="s">
        <v>364</v>
      </c>
      <c r="T40">
        <v>1</v>
      </c>
      <c r="U40">
        <f t="shared" si="2"/>
        <v>24</v>
      </c>
      <c r="V40" t="s">
        <v>368</v>
      </c>
      <c r="W40">
        <v>0</v>
      </c>
      <c r="X40" s="10">
        <v>0</v>
      </c>
    </row>
    <row r="41" spans="1:24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N41">
        <f t="shared" si="0"/>
        <v>20304</v>
      </c>
      <c r="O41">
        <v>2</v>
      </c>
      <c r="P41">
        <v>3</v>
      </c>
      <c r="Q41">
        <v>4</v>
      </c>
      <c r="R41">
        <f t="shared" si="1"/>
        <v>2000</v>
      </c>
      <c r="S41" t="s">
        <v>365</v>
      </c>
      <c r="T41">
        <v>1</v>
      </c>
      <c r="U41">
        <f t="shared" si="2"/>
        <v>24</v>
      </c>
      <c r="V41" t="s">
        <v>368</v>
      </c>
      <c r="W41">
        <v>0</v>
      </c>
      <c r="X41" s="10">
        <v>0</v>
      </c>
    </row>
    <row r="42" spans="1:24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N42">
        <f t="shared" si="0"/>
        <v>20305</v>
      </c>
      <c r="O42">
        <v>2</v>
      </c>
      <c r="P42">
        <v>3</v>
      </c>
      <c r="Q42">
        <v>5</v>
      </c>
      <c r="R42">
        <f t="shared" si="1"/>
        <v>2000</v>
      </c>
      <c r="S42" t="s">
        <v>366</v>
      </c>
      <c r="T42">
        <v>1</v>
      </c>
      <c r="U42">
        <f t="shared" si="2"/>
        <v>24</v>
      </c>
      <c r="V42" t="s">
        <v>368</v>
      </c>
      <c r="W42">
        <v>0</v>
      </c>
      <c r="X42" s="10" t="s">
        <v>367</v>
      </c>
    </row>
    <row r="43" spans="1:24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N43">
        <f t="shared" si="0"/>
        <v>20401</v>
      </c>
      <c r="O43">
        <v>2</v>
      </c>
      <c r="P43">
        <v>4</v>
      </c>
      <c r="Q43">
        <v>1</v>
      </c>
      <c r="R43">
        <f t="shared" si="1"/>
        <v>2000</v>
      </c>
      <c r="S43" t="s">
        <v>361</v>
      </c>
      <c r="T43">
        <v>1</v>
      </c>
      <c r="U43">
        <f t="shared" si="2"/>
        <v>27</v>
      </c>
      <c r="V43" t="s">
        <v>368</v>
      </c>
      <c r="W43">
        <v>0</v>
      </c>
      <c r="X43" s="10">
        <v>0</v>
      </c>
    </row>
    <row r="44" spans="1:24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N44">
        <f t="shared" si="0"/>
        <v>20402</v>
      </c>
      <c r="O44">
        <v>2</v>
      </c>
      <c r="P44">
        <v>4</v>
      </c>
      <c r="Q44">
        <v>2</v>
      </c>
      <c r="R44">
        <f t="shared" si="1"/>
        <v>2000</v>
      </c>
      <c r="S44" t="s">
        <v>363</v>
      </c>
      <c r="T44">
        <v>1</v>
      </c>
      <c r="U44">
        <f t="shared" si="2"/>
        <v>27</v>
      </c>
      <c r="V44" t="s">
        <v>368</v>
      </c>
      <c r="W44">
        <v>0</v>
      </c>
      <c r="X44" s="10">
        <v>0</v>
      </c>
    </row>
    <row r="45" spans="1:24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N45">
        <f t="shared" si="0"/>
        <v>20403</v>
      </c>
      <c r="O45">
        <v>2</v>
      </c>
      <c r="P45">
        <v>4</v>
      </c>
      <c r="Q45">
        <v>3</v>
      </c>
      <c r="R45">
        <f t="shared" si="1"/>
        <v>2000</v>
      </c>
      <c r="S45" t="s">
        <v>364</v>
      </c>
      <c r="T45">
        <v>1</v>
      </c>
      <c r="U45">
        <f t="shared" si="2"/>
        <v>27</v>
      </c>
      <c r="V45" t="s">
        <v>368</v>
      </c>
      <c r="W45">
        <v>0</v>
      </c>
      <c r="X45" s="10">
        <v>0</v>
      </c>
    </row>
    <row r="46" spans="1:24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N46">
        <f t="shared" si="0"/>
        <v>20404</v>
      </c>
      <c r="O46">
        <v>2</v>
      </c>
      <c r="P46">
        <v>4</v>
      </c>
      <c r="Q46">
        <v>4</v>
      </c>
      <c r="R46">
        <f t="shared" si="1"/>
        <v>2000</v>
      </c>
      <c r="S46" t="s">
        <v>365</v>
      </c>
      <c r="T46">
        <v>1</v>
      </c>
      <c r="U46">
        <f t="shared" si="2"/>
        <v>27</v>
      </c>
      <c r="V46" t="s">
        <v>368</v>
      </c>
      <c r="W46">
        <v>0</v>
      </c>
      <c r="X46" s="10">
        <v>0</v>
      </c>
    </row>
    <row r="47" spans="1:24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N47">
        <f t="shared" si="0"/>
        <v>20405</v>
      </c>
      <c r="O47">
        <v>2</v>
      </c>
      <c r="P47">
        <v>4</v>
      </c>
      <c r="Q47">
        <v>5</v>
      </c>
      <c r="R47">
        <f t="shared" si="1"/>
        <v>2000</v>
      </c>
      <c r="S47" t="s">
        <v>366</v>
      </c>
      <c r="T47">
        <v>1</v>
      </c>
      <c r="U47">
        <f t="shared" si="2"/>
        <v>27</v>
      </c>
      <c r="V47" t="s">
        <v>368</v>
      </c>
      <c r="W47">
        <v>0</v>
      </c>
      <c r="X47" s="10" t="s">
        <v>367</v>
      </c>
    </row>
    <row r="48" spans="1:24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N48">
        <f t="shared" si="0"/>
        <v>20501</v>
      </c>
      <c r="O48">
        <v>2</v>
      </c>
      <c r="P48">
        <v>5</v>
      </c>
      <c r="Q48">
        <v>1</v>
      </c>
      <c r="R48">
        <f t="shared" si="1"/>
        <v>2000</v>
      </c>
      <c r="S48" t="s">
        <v>361</v>
      </c>
      <c r="T48">
        <v>1</v>
      </c>
      <c r="U48">
        <f t="shared" si="2"/>
        <v>30</v>
      </c>
      <c r="V48" t="s">
        <v>368</v>
      </c>
      <c r="W48">
        <v>0</v>
      </c>
      <c r="X48" s="10">
        <v>0</v>
      </c>
    </row>
    <row r="49" spans="1:24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N49">
        <f t="shared" si="0"/>
        <v>20502</v>
      </c>
      <c r="O49">
        <v>2</v>
      </c>
      <c r="P49">
        <v>5</v>
      </c>
      <c r="Q49">
        <v>2</v>
      </c>
      <c r="R49">
        <f t="shared" si="1"/>
        <v>2000</v>
      </c>
      <c r="S49" t="s">
        <v>363</v>
      </c>
      <c r="T49">
        <v>1</v>
      </c>
      <c r="U49">
        <f t="shared" si="2"/>
        <v>30</v>
      </c>
      <c r="V49" t="s">
        <v>368</v>
      </c>
      <c r="W49">
        <v>0</v>
      </c>
      <c r="X49" s="10">
        <v>0</v>
      </c>
    </row>
    <row r="50" spans="1:24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N50">
        <f t="shared" si="0"/>
        <v>20503</v>
      </c>
      <c r="O50">
        <v>2</v>
      </c>
      <c r="P50">
        <v>5</v>
      </c>
      <c r="Q50">
        <v>3</v>
      </c>
      <c r="R50">
        <f t="shared" si="1"/>
        <v>2000</v>
      </c>
      <c r="S50" t="s">
        <v>364</v>
      </c>
      <c r="T50">
        <v>1</v>
      </c>
      <c r="U50">
        <f t="shared" si="2"/>
        <v>30</v>
      </c>
      <c r="V50" t="s">
        <v>368</v>
      </c>
      <c r="W50">
        <v>0</v>
      </c>
      <c r="X50" s="10">
        <v>0</v>
      </c>
    </row>
    <row r="51" spans="1:24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N51">
        <f t="shared" si="0"/>
        <v>20504</v>
      </c>
      <c r="O51">
        <v>2</v>
      </c>
      <c r="P51">
        <v>5</v>
      </c>
      <c r="Q51">
        <v>4</v>
      </c>
      <c r="R51">
        <f t="shared" si="1"/>
        <v>2000</v>
      </c>
      <c r="S51" t="s">
        <v>365</v>
      </c>
      <c r="T51">
        <v>1</v>
      </c>
      <c r="U51">
        <f t="shared" si="2"/>
        <v>30</v>
      </c>
      <c r="V51" t="s">
        <v>368</v>
      </c>
      <c r="W51">
        <v>0</v>
      </c>
      <c r="X51" s="10">
        <v>0</v>
      </c>
    </row>
    <row r="52" spans="1:24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N52">
        <f t="shared" si="0"/>
        <v>20505</v>
      </c>
      <c r="O52">
        <v>2</v>
      </c>
      <c r="P52">
        <v>5</v>
      </c>
      <c r="Q52">
        <v>5</v>
      </c>
      <c r="R52">
        <f t="shared" si="1"/>
        <v>2000</v>
      </c>
      <c r="S52" t="s">
        <v>366</v>
      </c>
      <c r="T52">
        <v>1</v>
      </c>
      <c r="U52">
        <f t="shared" si="2"/>
        <v>30</v>
      </c>
      <c r="V52" t="s">
        <v>368</v>
      </c>
      <c r="W52">
        <v>0</v>
      </c>
      <c r="X52" s="10" t="s">
        <v>367</v>
      </c>
    </row>
  </sheetData>
  <phoneticPr fontId="2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8B56-9CE4-471A-A21B-5AE7F7976CFE}">
  <sheetPr codeName="Sheet16"/>
  <dimension ref="A1:R24"/>
  <sheetViews>
    <sheetView workbookViewId="0">
      <selection activeCell="N28" sqref="N28"/>
    </sheetView>
  </sheetViews>
  <sheetFormatPr baseColWidth="10" defaultColWidth="8.83203125" defaultRowHeight="15"/>
  <cols>
    <col min="15" max="15" width="10.6640625" customWidth="1"/>
    <col min="16" max="16" width="12.33203125" customWidth="1"/>
    <col min="18" max="18" width="9" style="10"/>
  </cols>
  <sheetData>
    <row r="1" spans="1:18">
      <c r="A1" s="4" t="s">
        <v>81</v>
      </c>
      <c r="B1" s="5" t="s">
        <v>82</v>
      </c>
      <c r="C1" s="5" t="s">
        <v>83</v>
      </c>
      <c r="D1" s="5" t="s">
        <v>31</v>
      </c>
      <c r="E1" s="5" t="s">
        <v>33</v>
      </c>
      <c r="F1" s="5" t="s">
        <v>35</v>
      </c>
      <c r="G1" s="5" t="s">
        <v>84</v>
      </c>
      <c r="H1" s="5" t="s">
        <v>85</v>
      </c>
      <c r="I1" s="5" t="s">
        <v>86</v>
      </c>
      <c r="J1" s="5" t="s">
        <v>87</v>
      </c>
      <c r="M1" s="7" t="s">
        <v>88</v>
      </c>
      <c r="N1" s="7" t="s">
        <v>149</v>
      </c>
      <c r="O1" t="s">
        <v>369</v>
      </c>
      <c r="P1" t="s">
        <v>370</v>
      </c>
      <c r="Q1" t="s">
        <v>371</v>
      </c>
      <c r="R1" s="10" t="s">
        <v>372</v>
      </c>
    </row>
    <row r="2" spans="1:18">
      <c r="A2" s="4" t="s">
        <v>91</v>
      </c>
      <c r="B2" s="5" t="s">
        <v>92</v>
      </c>
      <c r="C2" s="5" t="s">
        <v>93</v>
      </c>
      <c r="D2" s="5" t="s">
        <v>94</v>
      </c>
      <c r="E2" s="5" t="s">
        <v>95</v>
      </c>
      <c r="F2" s="5" t="s">
        <v>96</v>
      </c>
      <c r="G2" s="5" t="s">
        <v>97</v>
      </c>
      <c r="H2" s="5" t="s">
        <v>98</v>
      </c>
      <c r="I2" s="5" t="s">
        <v>99</v>
      </c>
      <c r="J2" s="5" t="s">
        <v>100</v>
      </c>
      <c r="N2" s="7" t="s">
        <v>167</v>
      </c>
      <c r="O2" t="s">
        <v>280</v>
      </c>
      <c r="P2" t="s">
        <v>373</v>
      </c>
      <c r="Q2" t="s">
        <v>374</v>
      </c>
      <c r="R2" s="10" t="s">
        <v>375</v>
      </c>
    </row>
    <row r="3" spans="1:18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IFERROR(N2+1,1000)</f>
        <v>1000</v>
      </c>
      <c r="O3">
        <v>1</v>
      </c>
      <c r="P3">
        <v>1</v>
      </c>
      <c r="Q3">
        <v>1</v>
      </c>
      <c r="R3" s="10" t="s">
        <v>376</v>
      </c>
    </row>
    <row r="4" spans="1:18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9" si="0">IFERROR(N3+1,1000)</f>
        <v>1001</v>
      </c>
      <c r="O4">
        <v>2</v>
      </c>
      <c r="P4">
        <v>1</v>
      </c>
      <c r="Q4">
        <v>1</v>
      </c>
      <c r="R4" s="10" t="s">
        <v>377</v>
      </c>
    </row>
    <row r="5" spans="1:18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1002</v>
      </c>
      <c r="O5">
        <v>3</v>
      </c>
      <c r="P5">
        <v>1</v>
      </c>
      <c r="Q5">
        <v>1</v>
      </c>
      <c r="R5" s="10" t="s">
        <v>378</v>
      </c>
    </row>
    <row r="6" spans="1:18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1003</v>
      </c>
      <c r="O6">
        <v>4</v>
      </c>
      <c r="P6">
        <v>1</v>
      </c>
      <c r="Q6">
        <v>1</v>
      </c>
      <c r="R6" s="10" t="s">
        <v>379</v>
      </c>
    </row>
    <row r="7" spans="1:18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1004</v>
      </c>
      <c r="O7">
        <v>5</v>
      </c>
      <c r="P7">
        <v>1</v>
      </c>
      <c r="Q7">
        <v>1</v>
      </c>
      <c r="R7" s="10" t="s">
        <v>380</v>
      </c>
    </row>
    <row r="8" spans="1:18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1005</v>
      </c>
      <c r="O8">
        <v>6</v>
      </c>
      <c r="P8">
        <v>1</v>
      </c>
      <c r="Q8">
        <v>1</v>
      </c>
      <c r="R8" s="10" t="s">
        <v>381</v>
      </c>
    </row>
    <row r="9" spans="1:18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>
        <f t="shared" si="0"/>
        <v>1006</v>
      </c>
      <c r="O9">
        <v>7</v>
      </c>
      <c r="P9">
        <v>0</v>
      </c>
      <c r="Q9">
        <v>1</v>
      </c>
      <c r="R9" s="10">
        <v>10</v>
      </c>
    </row>
    <row r="10" spans="1:18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>
        <f t="shared" ref="N10:N24" si="1">IFERROR(N9+1,1000)</f>
        <v>1007</v>
      </c>
      <c r="O10">
        <v>7</v>
      </c>
      <c r="P10">
        <v>0</v>
      </c>
      <c r="Q10">
        <v>2</v>
      </c>
      <c r="R10" s="10">
        <v>20</v>
      </c>
    </row>
    <row r="11" spans="1:18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>
        <f t="shared" si="1"/>
        <v>1008</v>
      </c>
      <c r="O11">
        <v>7</v>
      </c>
      <c r="P11">
        <v>0</v>
      </c>
      <c r="Q11">
        <v>3</v>
      </c>
      <c r="R11" s="10">
        <v>30</v>
      </c>
    </row>
    <row r="12" spans="1:18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>
        <f t="shared" si="1"/>
        <v>1009</v>
      </c>
      <c r="O12">
        <v>7</v>
      </c>
      <c r="P12">
        <v>0</v>
      </c>
      <c r="Q12">
        <v>4</v>
      </c>
      <c r="R12" s="10">
        <v>40</v>
      </c>
    </row>
    <row r="13" spans="1:18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>
        <f t="shared" si="1"/>
        <v>1010</v>
      </c>
      <c r="O13">
        <v>7</v>
      </c>
      <c r="P13">
        <v>0</v>
      </c>
      <c r="Q13">
        <v>5</v>
      </c>
      <c r="R13" s="10">
        <v>50</v>
      </c>
    </row>
    <row r="14" spans="1:18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>
        <f t="shared" si="1"/>
        <v>1011</v>
      </c>
      <c r="O14">
        <v>7</v>
      </c>
      <c r="P14">
        <v>0</v>
      </c>
      <c r="Q14">
        <v>6</v>
      </c>
      <c r="R14" s="10">
        <v>60</v>
      </c>
    </row>
    <row r="15" spans="1:18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>
        <f t="shared" si="1"/>
        <v>1012</v>
      </c>
      <c r="O15">
        <v>7</v>
      </c>
      <c r="P15">
        <v>0</v>
      </c>
      <c r="Q15">
        <v>7</v>
      </c>
      <c r="R15" s="10">
        <v>70</v>
      </c>
    </row>
    <row r="16" spans="1:18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>
        <f t="shared" si="1"/>
        <v>1013</v>
      </c>
      <c r="O16">
        <v>7</v>
      </c>
      <c r="P16">
        <v>0</v>
      </c>
      <c r="Q16">
        <v>8</v>
      </c>
      <c r="R16" s="10">
        <v>80</v>
      </c>
    </row>
    <row r="17" spans="1:18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>
        <f t="shared" si="1"/>
        <v>1014</v>
      </c>
      <c r="O17">
        <v>7</v>
      </c>
      <c r="P17">
        <v>0</v>
      </c>
      <c r="Q17">
        <v>9</v>
      </c>
      <c r="R17" s="10">
        <v>90</v>
      </c>
    </row>
    <row r="18" spans="1:18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>
        <f t="shared" si="1"/>
        <v>1015</v>
      </c>
      <c r="O18">
        <v>7</v>
      </c>
      <c r="P18">
        <v>0</v>
      </c>
      <c r="Q18">
        <v>10</v>
      </c>
      <c r="R18" s="10">
        <v>100</v>
      </c>
    </row>
    <row r="19" spans="1:18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>
        <f t="shared" si="1"/>
        <v>1016</v>
      </c>
      <c r="O19">
        <v>7</v>
      </c>
      <c r="P19">
        <v>0</v>
      </c>
      <c r="Q19">
        <v>11</v>
      </c>
      <c r="R19" s="10">
        <v>110</v>
      </c>
    </row>
    <row r="20" spans="1:18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>
        <f t="shared" si="1"/>
        <v>1017</v>
      </c>
      <c r="O20">
        <v>7</v>
      </c>
      <c r="P20">
        <v>0</v>
      </c>
      <c r="Q20">
        <v>12</v>
      </c>
      <c r="R20" s="10">
        <v>120</v>
      </c>
    </row>
    <row r="21" spans="1:18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>
        <f t="shared" si="1"/>
        <v>1018</v>
      </c>
      <c r="O21">
        <v>7</v>
      </c>
      <c r="P21">
        <v>0</v>
      </c>
      <c r="Q21">
        <v>13</v>
      </c>
      <c r="R21" s="10">
        <v>130</v>
      </c>
    </row>
    <row r="22" spans="1:18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>
        <f t="shared" si="1"/>
        <v>1019</v>
      </c>
      <c r="O22">
        <v>7</v>
      </c>
      <c r="P22">
        <v>0</v>
      </c>
      <c r="Q22">
        <v>14</v>
      </c>
      <c r="R22" s="10">
        <v>140</v>
      </c>
    </row>
    <row r="23" spans="1:18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>
        <f t="shared" si="1"/>
        <v>1020</v>
      </c>
      <c r="O23">
        <v>7</v>
      </c>
      <c r="P23">
        <v>0</v>
      </c>
      <c r="Q23">
        <v>15</v>
      </c>
      <c r="R23" s="10">
        <v>150</v>
      </c>
    </row>
    <row r="24" spans="1:18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>
        <f t="shared" si="1"/>
        <v>1021</v>
      </c>
      <c r="O24">
        <v>8</v>
      </c>
      <c r="P24">
        <v>1</v>
      </c>
      <c r="Q24">
        <v>1</v>
      </c>
      <c r="R24" s="10" t="s">
        <v>382</v>
      </c>
    </row>
  </sheetData>
  <phoneticPr fontId="2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0F34C-7AAA-453C-8690-3625140D1A0F}">
  <sheetPr codeName="Sheet17"/>
  <dimension ref="A1:R118"/>
  <sheetViews>
    <sheetView workbookViewId="0">
      <selection activeCell="K31" sqref="K31"/>
    </sheetView>
  </sheetViews>
  <sheetFormatPr baseColWidth="10" defaultColWidth="8.83203125" defaultRowHeight="15"/>
  <cols>
    <col min="14" max="14" width="8.6640625" bestFit="1" customWidth="1"/>
    <col min="15" max="15" width="13" bestFit="1" customWidth="1"/>
    <col min="16" max="16" width="15.5" bestFit="1" customWidth="1"/>
    <col min="17" max="17" width="8.33203125" bestFit="1" customWidth="1"/>
    <col min="18" max="18" width="15.1640625" style="10" bestFit="1" customWidth="1"/>
  </cols>
  <sheetData>
    <row r="1" spans="1:18">
      <c r="A1" s="4" t="s">
        <v>81</v>
      </c>
      <c r="B1" s="5" t="s">
        <v>82</v>
      </c>
      <c r="C1" s="5" t="s">
        <v>83</v>
      </c>
      <c r="D1" s="5" t="s">
        <v>31</v>
      </c>
      <c r="E1" s="5" t="s">
        <v>33</v>
      </c>
      <c r="F1" s="5" t="s">
        <v>35</v>
      </c>
      <c r="G1" s="5" t="s">
        <v>84</v>
      </c>
      <c r="H1" s="5" t="s">
        <v>85</v>
      </c>
      <c r="I1" s="5" t="s">
        <v>86</v>
      </c>
      <c r="J1" s="5" t="s">
        <v>87</v>
      </c>
      <c r="M1" s="7" t="s">
        <v>88</v>
      </c>
      <c r="N1" s="7" t="s">
        <v>149</v>
      </c>
      <c r="O1" t="s">
        <v>369</v>
      </c>
      <c r="P1" t="s">
        <v>370</v>
      </c>
      <c r="Q1" t="s">
        <v>371</v>
      </c>
      <c r="R1" s="10" t="s">
        <v>383</v>
      </c>
    </row>
    <row r="2" spans="1:18">
      <c r="A2" s="4" t="s">
        <v>91</v>
      </c>
      <c r="B2" s="5" t="s">
        <v>92</v>
      </c>
      <c r="C2" s="5" t="s">
        <v>93</v>
      </c>
      <c r="D2" s="5" t="s">
        <v>94</v>
      </c>
      <c r="E2" s="5" t="s">
        <v>95</v>
      </c>
      <c r="F2" s="5" t="s">
        <v>96</v>
      </c>
      <c r="G2" s="5" t="s">
        <v>97</v>
      </c>
      <c r="H2" s="5" t="s">
        <v>98</v>
      </c>
      <c r="I2" s="5" t="s">
        <v>99</v>
      </c>
      <c r="J2" s="5" t="s">
        <v>100</v>
      </c>
      <c r="N2" s="7" t="s">
        <v>167</v>
      </c>
      <c r="O2" t="s">
        <v>279</v>
      </c>
      <c r="P2" t="s">
        <v>373</v>
      </c>
      <c r="Q2" t="s">
        <v>374</v>
      </c>
      <c r="R2" s="10" t="s">
        <v>375</v>
      </c>
    </row>
    <row r="3" spans="1:18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IFERROR(N2+1,1000)</f>
        <v>1000</v>
      </c>
      <c r="O3">
        <v>1</v>
      </c>
      <c r="P3">
        <v>1</v>
      </c>
      <c r="Q3">
        <v>1</v>
      </c>
      <c r="R3" s="10" t="s">
        <v>376</v>
      </c>
    </row>
    <row r="4" spans="1:18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67" si="0">IFERROR(N3+1,1000)</f>
        <v>1001</v>
      </c>
      <c r="O4">
        <v>2</v>
      </c>
      <c r="P4">
        <v>0</v>
      </c>
      <c r="Q4">
        <v>1</v>
      </c>
      <c r="R4" s="10">
        <v>10</v>
      </c>
    </row>
    <row r="5" spans="1:18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1002</v>
      </c>
      <c r="O5">
        <v>2</v>
      </c>
      <c r="P5">
        <v>0</v>
      </c>
      <c r="Q5">
        <v>2</v>
      </c>
      <c r="R5" s="10">
        <v>20</v>
      </c>
    </row>
    <row r="6" spans="1:18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1003</v>
      </c>
      <c r="O6">
        <v>2</v>
      </c>
      <c r="P6">
        <v>0</v>
      </c>
      <c r="Q6">
        <v>3</v>
      </c>
      <c r="R6" s="10">
        <v>30</v>
      </c>
    </row>
    <row r="7" spans="1:18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1004</v>
      </c>
      <c r="O7">
        <v>2</v>
      </c>
      <c r="P7">
        <v>0</v>
      </c>
      <c r="Q7">
        <v>4</v>
      </c>
      <c r="R7" s="10">
        <v>40</v>
      </c>
    </row>
    <row r="8" spans="1:18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1005</v>
      </c>
      <c r="O8">
        <v>2</v>
      </c>
      <c r="P8">
        <v>0</v>
      </c>
      <c r="Q8">
        <v>5</v>
      </c>
      <c r="R8" s="10">
        <v>50</v>
      </c>
    </row>
    <row r="9" spans="1:18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>
        <f t="shared" si="0"/>
        <v>1006</v>
      </c>
      <c r="O9">
        <v>2</v>
      </c>
      <c r="P9">
        <v>0</v>
      </c>
      <c r="Q9">
        <v>6</v>
      </c>
      <c r="R9" s="10">
        <v>60</v>
      </c>
    </row>
    <row r="10" spans="1:18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>
        <f t="shared" si="0"/>
        <v>1007</v>
      </c>
      <c r="O10">
        <v>2</v>
      </c>
      <c r="P10">
        <v>0</v>
      </c>
      <c r="Q10">
        <v>7</v>
      </c>
      <c r="R10" s="10">
        <v>70</v>
      </c>
    </row>
    <row r="11" spans="1:18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>
        <f t="shared" si="0"/>
        <v>1008</v>
      </c>
      <c r="O11">
        <v>2</v>
      </c>
      <c r="P11">
        <v>0</v>
      </c>
      <c r="Q11">
        <v>8</v>
      </c>
      <c r="R11" s="10">
        <v>80</v>
      </c>
    </row>
    <row r="12" spans="1:18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>
        <f t="shared" si="0"/>
        <v>1009</v>
      </c>
      <c r="O12">
        <v>2</v>
      </c>
      <c r="P12">
        <v>0</v>
      </c>
      <c r="Q12">
        <v>9</v>
      </c>
      <c r="R12" s="10">
        <v>90</v>
      </c>
    </row>
    <row r="13" spans="1:18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>
        <f t="shared" si="0"/>
        <v>1010</v>
      </c>
      <c r="O13">
        <v>2</v>
      </c>
      <c r="P13">
        <v>0</v>
      </c>
      <c r="Q13">
        <v>10</v>
      </c>
      <c r="R13" s="10">
        <v>100</v>
      </c>
    </row>
    <row r="14" spans="1:18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>
        <f t="shared" si="0"/>
        <v>1011</v>
      </c>
      <c r="O14">
        <v>2</v>
      </c>
      <c r="P14">
        <v>0</v>
      </c>
      <c r="Q14">
        <v>11</v>
      </c>
      <c r="R14" s="10">
        <v>110</v>
      </c>
    </row>
    <row r="15" spans="1:18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>
        <f t="shared" si="0"/>
        <v>1012</v>
      </c>
      <c r="O15">
        <v>2</v>
      </c>
      <c r="P15">
        <v>0</v>
      </c>
      <c r="Q15">
        <v>12</v>
      </c>
      <c r="R15" s="10">
        <v>120</v>
      </c>
    </row>
    <row r="16" spans="1:18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>
        <f t="shared" si="0"/>
        <v>1013</v>
      </c>
      <c r="O16">
        <v>2</v>
      </c>
      <c r="P16">
        <v>0</v>
      </c>
      <c r="Q16">
        <v>13</v>
      </c>
      <c r="R16" s="10">
        <v>130</v>
      </c>
    </row>
    <row r="17" spans="1:18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>
        <f t="shared" si="0"/>
        <v>1014</v>
      </c>
      <c r="O17">
        <v>2</v>
      </c>
      <c r="P17">
        <v>0</v>
      </c>
      <c r="Q17">
        <v>14</v>
      </c>
      <c r="R17" s="10">
        <v>140</v>
      </c>
    </row>
    <row r="18" spans="1:18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>
        <f t="shared" si="0"/>
        <v>1015</v>
      </c>
      <c r="O18">
        <v>2</v>
      </c>
      <c r="P18">
        <v>0</v>
      </c>
      <c r="Q18">
        <v>15</v>
      </c>
      <c r="R18" s="10">
        <v>150</v>
      </c>
    </row>
    <row r="19" spans="1:18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>
        <f t="shared" si="0"/>
        <v>1016</v>
      </c>
      <c r="O19">
        <v>3</v>
      </c>
      <c r="P19">
        <v>0</v>
      </c>
      <c r="Q19">
        <v>1</v>
      </c>
      <c r="R19" s="10">
        <f>3+INT((Q19-1)/3)</f>
        <v>3</v>
      </c>
    </row>
    <row r="20" spans="1:18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>
        <f t="shared" si="0"/>
        <v>1017</v>
      </c>
      <c r="O20">
        <v>3</v>
      </c>
      <c r="P20">
        <v>0</v>
      </c>
      <c r="Q20">
        <v>2</v>
      </c>
      <c r="R20" s="10">
        <f t="shared" ref="R20:R83" si="1">3+INT((Q20-1)/3)</f>
        <v>3</v>
      </c>
    </row>
    <row r="21" spans="1:18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>
        <f t="shared" si="0"/>
        <v>1018</v>
      </c>
      <c r="O21">
        <v>3</v>
      </c>
      <c r="P21">
        <v>0</v>
      </c>
      <c r="Q21">
        <v>3</v>
      </c>
      <c r="R21" s="10">
        <f t="shared" si="1"/>
        <v>3</v>
      </c>
    </row>
    <row r="22" spans="1:18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>
        <f t="shared" si="0"/>
        <v>1019</v>
      </c>
      <c r="O22">
        <v>3</v>
      </c>
      <c r="P22">
        <v>0</v>
      </c>
      <c r="Q22">
        <v>4</v>
      </c>
      <c r="R22" s="10">
        <f t="shared" si="1"/>
        <v>4</v>
      </c>
    </row>
    <row r="23" spans="1:18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>
        <f t="shared" si="0"/>
        <v>1020</v>
      </c>
      <c r="O23">
        <v>3</v>
      </c>
      <c r="P23">
        <v>0</v>
      </c>
      <c r="Q23">
        <v>5</v>
      </c>
      <c r="R23" s="10">
        <f t="shared" si="1"/>
        <v>4</v>
      </c>
    </row>
    <row r="24" spans="1:18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>
        <f t="shared" si="0"/>
        <v>1021</v>
      </c>
      <c r="O24">
        <v>3</v>
      </c>
      <c r="P24">
        <v>0</v>
      </c>
      <c r="Q24">
        <v>6</v>
      </c>
      <c r="R24" s="10">
        <f t="shared" si="1"/>
        <v>4</v>
      </c>
    </row>
    <row r="25" spans="1:18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>
        <f t="shared" si="0"/>
        <v>1022</v>
      </c>
      <c r="O25">
        <v>3</v>
      </c>
      <c r="P25">
        <v>0</v>
      </c>
      <c r="Q25">
        <v>7</v>
      </c>
      <c r="R25" s="10">
        <f t="shared" si="1"/>
        <v>5</v>
      </c>
    </row>
    <row r="26" spans="1:18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N26">
        <f t="shared" si="0"/>
        <v>1023</v>
      </c>
      <c r="O26">
        <v>3</v>
      </c>
      <c r="P26">
        <v>0</v>
      </c>
      <c r="Q26">
        <v>8</v>
      </c>
      <c r="R26" s="10">
        <f t="shared" si="1"/>
        <v>5</v>
      </c>
    </row>
    <row r="27" spans="1:18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N27">
        <f t="shared" si="0"/>
        <v>1024</v>
      </c>
      <c r="O27">
        <v>3</v>
      </c>
      <c r="P27">
        <v>0</v>
      </c>
      <c r="Q27">
        <v>9</v>
      </c>
      <c r="R27" s="10">
        <f t="shared" si="1"/>
        <v>5</v>
      </c>
    </row>
    <row r="28" spans="1:18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N28">
        <f t="shared" si="0"/>
        <v>1025</v>
      </c>
      <c r="O28">
        <v>3</v>
      </c>
      <c r="P28">
        <v>0</v>
      </c>
      <c r="Q28">
        <v>10</v>
      </c>
      <c r="R28" s="10">
        <f t="shared" si="1"/>
        <v>6</v>
      </c>
    </row>
    <row r="29" spans="1:18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N29">
        <f t="shared" si="0"/>
        <v>1026</v>
      </c>
      <c r="O29">
        <v>3</v>
      </c>
      <c r="P29">
        <v>0</v>
      </c>
      <c r="Q29">
        <v>11</v>
      </c>
      <c r="R29" s="10">
        <f t="shared" si="1"/>
        <v>6</v>
      </c>
    </row>
    <row r="30" spans="1:18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N30">
        <f t="shared" si="0"/>
        <v>1027</v>
      </c>
      <c r="O30">
        <v>3</v>
      </c>
      <c r="P30">
        <v>0</v>
      </c>
      <c r="Q30">
        <v>12</v>
      </c>
      <c r="R30" s="10">
        <f t="shared" si="1"/>
        <v>6</v>
      </c>
    </row>
    <row r="31" spans="1:18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N31">
        <f t="shared" si="0"/>
        <v>1028</v>
      </c>
      <c r="O31">
        <v>3</v>
      </c>
      <c r="P31">
        <v>0</v>
      </c>
      <c r="Q31">
        <v>13</v>
      </c>
      <c r="R31" s="10">
        <f t="shared" si="1"/>
        <v>7</v>
      </c>
    </row>
    <row r="32" spans="1:18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N32">
        <f t="shared" si="0"/>
        <v>1029</v>
      </c>
      <c r="O32">
        <v>3</v>
      </c>
      <c r="P32">
        <v>0</v>
      </c>
      <c r="Q32">
        <v>14</v>
      </c>
      <c r="R32" s="10">
        <f t="shared" si="1"/>
        <v>7</v>
      </c>
    </row>
    <row r="33" spans="1:18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N33">
        <f t="shared" si="0"/>
        <v>1030</v>
      </c>
      <c r="O33">
        <v>3</v>
      </c>
      <c r="P33">
        <v>0</v>
      </c>
      <c r="Q33">
        <v>15</v>
      </c>
      <c r="R33" s="10">
        <f t="shared" si="1"/>
        <v>7</v>
      </c>
    </row>
    <row r="34" spans="1:18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N34">
        <f t="shared" si="0"/>
        <v>1031</v>
      </c>
      <c r="O34">
        <v>3</v>
      </c>
      <c r="P34">
        <v>0</v>
      </c>
      <c r="Q34">
        <v>16</v>
      </c>
      <c r="R34" s="10">
        <f t="shared" si="1"/>
        <v>8</v>
      </c>
    </row>
    <row r="35" spans="1:18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N35">
        <f t="shared" si="0"/>
        <v>1032</v>
      </c>
      <c r="O35">
        <v>3</v>
      </c>
      <c r="P35">
        <v>0</v>
      </c>
      <c r="Q35">
        <v>17</v>
      </c>
      <c r="R35" s="10">
        <f t="shared" si="1"/>
        <v>8</v>
      </c>
    </row>
    <row r="36" spans="1:18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N36">
        <f t="shared" si="0"/>
        <v>1033</v>
      </c>
      <c r="O36">
        <v>3</v>
      </c>
      <c r="P36">
        <v>0</v>
      </c>
      <c r="Q36">
        <v>18</v>
      </c>
      <c r="R36" s="10">
        <f t="shared" si="1"/>
        <v>8</v>
      </c>
    </row>
    <row r="37" spans="1:18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N37">
        <f t="shared" si="0"/>
        <v>1034</v>
      </c>
      <c r="O37">
        <v>3</v>
      </c>
      <c r="P37">
        <v>0</v>
      </c>
      <c r="Q37">
        <v>19</v>
      </c>
      <c r="R37" s="10">
        <f t="shared" si="1"/>
        <v>9</v>
      </c>
    </row>
    <row r="38" spans="1:18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N38">
        <f t="shared" si="0"/>
        <v>1035</v>
      </c>
      <c r="O38">
        <v>3</v>
      </c>
      <c r="P38">
        <v>0</v>
      </c>
      <c r="Q38">
        <v>20</v>
      </c>
      <c r="R38" s="10">
        <f t="shared" si="1"/>
        <v>9</v>
      </c>
    </row>
    <row r="39" spans="1:18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N39">
        <f t="shared" si="0"/>
        <v>1036</v>
      </c>
      <c r="O39">
        <v>3</v>
      </c>
      <c r="P39">
        <v>0</v>
      </c>
      <c r="Q39">
        <v>21</v>
      </c>
      <c r="R39" s="10">
        <f t="shared" si="1"/>
        <v>9</v>
      </c>
    </row>
    <row r="40" spans="1:18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N40">
        <f t="shared" si="0"/>
        <v>1037</v>
      </c>
      <c r="O40">
        <v>3</v>
      </c>
      <c r="P40">
        <v>0</v>
      </c>
      <c r="Q40">
        <v>22</v>
      </c>
      <c r="R40" s="10">
        <f t="shared" si="1"/>
        <v>10</v>
      </c>
    </row>
    <row r="41" spans="1:18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N41">
        <f t="shared" si="0"/>
        <v>1038</v>
      </c>
      <c r="O41">
        <v>3</v>
      </c>
      <c r="P41">
        <v>0</v>
      </c>
      <c r="Q41">
        <v>23</v>
      </c>
      <c r="R41" s="10">
        <f t="shared" si="1"/>
        <v>10</v>
      </c>
    </row>
    <row r="42" spans="1:18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N42">
        <f t="shared" si="0"/>
        <v>1039</v>
      </c>
      <c r="O42">
        <v>3</v>
      </c>
      <c r="P42">
        <v>0</v>
      </c>
      <c r="Q42">
        <v>24</v>
      </c>
      <c r="R42" s="10">
        <f t="shared" si="1"/>
        <v>10</v>
      </c>
    </row>
    <row r="43" spans="1:18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N43">
        <f t="shared" si="0"/>
        <v>1040</v>
      </c>
      <c r="O43">
        <v>3</v>
      </c>
      <c r="P43">
        <v>0</v>
      </c>
      <c r="Q43">
        <v>25</v>
      </c>
      <c r="R43" s="10">
        <f t="shared" si="1"/>
        <v>11</v>
      </c>
    </row>
    <row r="44" spans="1:18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N44">
        <f t="shared" si="0"/>
        <v>1041</v>
      </c>
      <c r="O44">
        <v>3</v>
      </c>
      <c r="P44">
        <v>0</v>
      </c>
      <c r="Q44">
        <v>26</v>
      </c>
      <c r="R44" s="10">
        <f t="shared" si="1"/>
        <v>11</v>
      </c>
    </row>
    <row r="45" spans="1:18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N45">
        <f t="shared" si="0"/>
        <v>1042</v>
      </c>
      <c r="O45">
        <v>3</v>
      </c>
      <c r="P45">
        <v>0</v>
      </c>
      <c r="Q45">
        <v>27</v>
      </c>
      <c r="R45" s="10">
        <f t="shared" si="1"/>
        <v>11</v>
      </c>
    </row>
    <row r="46" spans="1:18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N46">
        <f t="shared" si="0"/>
        <v>1043</v>
      </c>
      <c r="O46">
        <v>3</v>
      </c>
      <c r="P46">
        <v>0</v>
      </c>
      <c r="Q46">
        <v>28</v>
      </c>
      <c r="R46" s="10">
        <f t="shared" si="1"/>
        <v>12</v>
      </c>
    </row>
    <row r="47" spans="1:18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N47">
        <f t="shared" si="0"/>
        <v>1044</v>
      </c>
      <c r="O47">
        <v>3</v>
      </c>
      <c r="P47">
        <v>0</v>
      </c>
      <c r="Q47">
        <v>29</v>
      </c>
      <c r="R47" s="10">
        <f t="shared" si="1"/>
        <v>12</v>
      </c>
    </row>
    <row r="48" spans="1:18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N48">
        <f t="shared" si="0"/>
        <v>1045</v>
      </c>
      <c r="O48">
        <v>3</v>
      </c>
      <c r="P48">
        <v>0</v>
      </c>
      <c r="Q48">
        <v>30</v>
      </c>
      <c r="R48" s="10">
        <f t="shared" si="1"/>
        <v>12</v>
      </c>
    </row>
    <row r="49" spans="1:18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N49">
        <f t="shared" si="0"/>
        <v>1046</v>
      </c>
      <c r="O49">
        <v>3</v>
      </c>
      <c r="P49">
        <v>0</v>
      </c>
      <c r="Q49">
        <v>31</v>
      </c>
      <c r="R49" s="10">
        <f t="shared" si="1"/>
        <v>13</v>
      </c>
    </row>
    <row r="50" spans="1:18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N50">
        <f t="shared" si="0"/>
        <v>1047</v>
      </c>
      <c r="O50">
        <v>3</v>
      </c>
      <c r="P50">
        <v>0</v>
      </c>
      <c r="Q50">
        <v>32</v>
      </c>
      <c r="R50" s="10">
        <f t="shared" si="1"/>
        <v>13</v>
      </c>
    </row>
    <row r="51" spans="1:18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N51">
        <f t="shared" si="0"/>
        <v>1048</v>
      </c>
      <c r="O51">
        <v>3</v>
      </c>
      <c r="P51">
        <v>0</v>
      </c>
      <c r="Q51">
        <v>33</v>
      </c>
      <c r="R51" s="10">
        <f t="shared" si="1"/>
        <v>13</v>
      </c>
    </row>
    <row r="52" spans="1:18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N52">
        <f t="shared" si="0"/>
        <v>1049</v>
      </c>
      <c r="O52">
        <v>3</v>
      </c>
      <c r="P52">
        <v>0</v>
      </c>
      <c r="Q52">
        <v>34</v>
      </c>
      <c r="R52" s="10">
        <f t="shared" si="1"/>
        <v>14</v>
      </c>
    </row>
    <row r="53" spans="1:18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N53">
        <f t="shared" si="0"/>
        <v>1050</v>
      </c>
      <c r="O53">
        <v>3</v>
      </c>
      <c r="P53">
        <v>0</v>
      </c>
      <c r="Q53">
        <v>35</v>
      </c>
      <c r="R53" s="10">
        <f t="shared" si="1"/>
        <v>14</v>
      </c>
    </row>
    <row r="54" spans="1:18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N54">
        <f t="shared" si="0"/>
        <v>1051</v>
      </c>
      <c r="O54">
        <v>3</v>
      </c>
      <c r="P54">
        <v>0</v>
      </c>
      <c r="Q54">
        <v>36</v>
      </c>
      <c r="R54" s="10">
        <f t="shared" si="1"/>
        <v>14</v>
      </c>
    </row>
    <row r="55" spans="1:18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N55">
        <f t="shared" si="0"/>
        <v>1052</v>
      </c>
      <c r="O55">
        <v>3</v>
      </c>
      <c r="P55">
        <v>0</v>
      </c>
      <c r="Q55">
        <v>37</v>
      </c>
      <c r="R55" s="10">
        <f t="shared" si="1"/>
        <v>15</v>
      </c>
    </row>
    <row r="56" spans="1:18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N56">
        <f t="shared" si="0"/>
        <v>1053</v>
      </c>
      <c r="O56">
        <v>3</v>
      </c>
      <c r="P56">
        <v>0</v>
      </c>
      <c r="Q56">
        <v>38</v>
      </c>
      <c r="R56" s="10">
        <f t="shared" si="1"/>
        <v>15</v>
      </c>
    </row>
    <row r="57" spans="1:18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N57">
        <f t="shared" si="0"/>
        <v>1054</v>
      </c>
      <c r="O57">
        <v>3</v>
      </c>
      <c r="P57">
        <v>0</v>
      </c>
      <c r="Q57">
        <v>39</v>
      </c>
      <c r="R57" s="10">
        <f t="shared" si="1"/>
        <v>15</v>
      </c>
    </row>
    <row r="58" spans="1:18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N58">
        <f t="shared" si="0"/>
        <v>1055</v>
      </c>
      <c r="O58">
        <v>3</v>
      </c>
      <c r="P58">
        <v>0</v>
      </c>
      <c r="Q58">
        <v>40</v>
      </c>
      <c r="R58" s="10">
        <f t="shared" si="1"/>
        <v>16</v>
      </c>
    </row>
    <row r="59" spans="1:18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N59">
        <f t="shared" si="0"/>
        <v>1056</v>
      </c>
      <c r="O59">
        <v>3</v>
      </c>
      <c r="P59">
        <v>0</v>
      </c>
      <c r="Q59">
        <v>41</v>
      </c>
      <c r="R59" s="10">
        <f t="shared" si="1"/>
        <v>16</v>
      </c>
    </row>
    <row r="60" spans="1:18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N60">
        <f t="shared" si="0"/>
        <v>1057</v>
      </c>
      <c r="O60">
        <v>3</v>
      </c>
      <c r="P60">
        <v>0</v>
      </c>
      <c r="Q60">
        <v>42</v>
      </c>
      <c r="R60" s="10">
        <f t="shared" si="1"/>
        <v>16</v>
      </c>
    </row>
    <row r="61" spans="1:18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N61">
        <f t="shared" si="0"/>
        <v>1058</v>
      </c>
      <c r="O61">
        <v>3</v>
      </c>
      <c r="P61">
        <v>0</v>
      </c>
      <c r="Q61">
        <v>43</v>
      </c>
      <c r="R61" s="10">
        <f t="shared" si="1"/>
        <v>17</v>
      </c>
    </row>
    <row r="62" spans="1:18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N62">
        <f t="shared" si="0"/>
        <v>1059</v>
      </c>
      <c r="O62">
        <v>3</v>
      </c>
      <c r="P62">
        <v>0</v>
      </c>
      <c r="Q62">
        <v>44</v>
      </c>
      <c r="R62" s="10">
        <f t="shared" si="1"/>
        <v>17</v>
      </c>
    </row>
    <row r="63" spans="1:18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N63">
        <f t="shared" si="0"/>
        <v>1060</v>
      </c>
      <c r="O63">
        <v>3</v>
      </c>
      <c r="P63">
        <v>0</v>
      </c>
      <c r="Q63">
        <v>45</v>
      </c>
      <c r="R63" s="10">
        <f t="shared" si="1"/>
        <v>17</v>
      </c>
    </row>
    <row r="64" spans="1:18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N64">
        <f t="shared" si="0"/>
        <v>1061</v>
      </c>
      <c r="O64">
        <v>3</v>
      </c>
      <c r="P64">
        <v>0</v>
      </c>
      <c r="Q64">
        <v>46</v>
      </c>
      <c r="R64" s="10">
        <f t="shared" si="1"/>
        <v>18</v>
      </c>
    </row>
    <row r="65" spans="1:18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N65">
        <f t="shared" si="0"/>
        <v>1062</v>
      </c>
      <c r="O65">
        <v>3</v>
      </c>
      <c r="P65">
        <v>0</v>
      </c>
      <c r="Q65">
        <v>47</v>
      </c>
      <c r="R65" s="10">
        <f t="shared" si="1"/>
        <v>18</v>
      </c>
    </row>
    <row r="66" spans="1:18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N66">
        <f t="shared" si="0"/>
        <v>1063</v>
      </c>
      <c r="O66">
        <v>3</v>
      </c>
      <c r="P66">
        <v>0</v>
      </c>
      <c r="Q66">
        <v>48</v>
      </c>
      <c r="R66" s="10">
        <f t="shared" si="1"/>
        <v>18</v>
      </c>
    </row>
    <row r="67" spans="1:18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N67">
        <f t="shared" si="0"/>
        <v>1064</v>
      </c>
      <c r="O67">
        <v>3</v>
      </c>
      <c r="P67">
        <v>0</v>
      </c>
      <c r="Q67">
        <v>49</v>
      </c>
      <c r="R67" s="10">
        <f t="shared" si="1"/>
        <v>19</v>
      </c>
    </row>
    <row r="68" spans="1:18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N68">
        <f t="shared" ref="N68:N118" si="2">IFERROR(N67+1,1000)</f>
        <v>1065</v>
      </c>
      <c r="O68">
        <v>3</v>
      </c>
      <c r="P68">
        <v>0</v>
      </c>
      <c r="Q68">
        <v>50</v>
      </c>
      <c r="R68" s="10">
        <f t="shared" si="1"/>
        <v>19</v>
      </c>
    </row>
    <row r="69" spans="1:18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N69">
        <f t="shared" si="2"/>
        <v>1066</v>
      </c>
      <c r="O69">
        <v>3</v>
      </c>
      <c r="P69">
        <v>0</v>
      </c>
      <c r="Q69">
        <v>51</v>
      </c>
      <c r="R69" s="10">
        <f t="shared" si="1"/>
        <v>19</v>
      </c>
    </row>
    <row r="70" spans="1:18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N70">
        <f t="shared" si="2"/>
        <v>1067</v>
      </c>
      <c r="O70">
        <v>3</v>
      </c>
      <c r="P70">
        <v>0</v>
      </c>
      <c r="Q70">
        <v>52</v>
      </c>
      <c r="R70" s="10">
        <f t="shared" si="1"/>
        <v>20</v>
      </c>
    </row>
    <row r="71" spans="1:18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N71">
        <f t="shared" si="2"/>
        <v>1068</v>
      </c>
      <c r="O71">
        <v>3</v>
      </c>
      <c r="P71">
        <v>0</v>
      </c>
      <c r="Q71">
        <v>53</v>
      </c>
      <c r="R71" s="10">
        <f t="shared" si="1"/>
        <v>20</v>
      </c>
    </row>
    <row r="72" spans="1:18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N72">
        <f t="shared" si="2"/>
        <v>1069</v>
      </c>
      <c r="O72">
        <v>3</v>
      </c>
      <c r="P72">
        <v>0</v>
      </c>
      <c r="Q72">
        <v>54</v>
      </c>
      <c r="R72" s="10">
        <f t="shared" si="1"/>
        <v>20</v>
      </c>
    </row>
    <row r="73" spans="1:18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N73">
        <f t="shared" si="2"/>
        <v>1070</v>
      </c>
      <c r="O73">
        <v>3</v>
      </c>
      <c r="P73">
        <v>0</v>
      </c>
      <c r="Q73">
        <v>55</v>
      </c>
      <c r="R73" s="10">
        <f t="shared" si="1"/>
        <v>21</v>
      </c>
    </row>
    <row r="74" spans="1:18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N74">
        <f t="shared" si="2"/>
        <v>1071</v>
      </c>
      <c r="O74">
        <v>3</v>
      </c>
      <c r="P74">
        <v>0</v>
      </c>
      <c r="Q74">
        <v>56</v>
      </c>
      <c r="R74" s="10">
        <f t="shared" si="1"/>
        <v>21</v>
      </c>
    </row>
    <row r="75" spans="1:18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N75">
        <f t="shared" si="2"/>
        <v>1072</v>
      </c>
      <c r="O75">
        <v>3</v>
      </c>
      <c r="P75">
        <v>0</v>
      </c>
      <c r="Q75">
        <v>57</v>
      </c>
      <c r="R75" s="10">
        <f t="shared" si="1"/>
        <v>21</v>
      </c>
    </row>
    <row r="76" spans="1:18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N76">
        <f t="shared" si="2"/>
        <v>1073</v>
      </c>
      <c r="O76">
        <v>3</v>
      </c>
      <c r="P76">
        <v>0</v>
      </c>
      <c r="Q76">
        <v>58</v>
      </c>
      <c r="R76" s="10">
        <f t="shared" si="1"/>
        <v>22</v>
      </c>
    </row>
    <row r="77" spans="1:18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N77">
        <f t="shared" si="2"/>
        <v>1074</v>
      </c>
      <c r="O77">
        <v>3</v>
      </c>
      <c r="P77">
        <v>0</v>
      </c>
      <c r="Q77">
        <v>59</v>
      </c>
      <c r="R77" s="10">
        <f t="shared" si="1"/>
        <v>22</v>
      </c>
    </row>
    <row r="78" spans="1:18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N78">
        <f t="shared" si="2"/>
        <v>1075</v>
      </c>
      <c r="O78">
        <v>3</v>
      </c>
      <c r="P78">
        <v>0</v>
      </c>
      <c r="Q78">
        <v>60</v>
      </c>
      <c r="R78" s="10">
        <f t="shared" si="1"/>
        <v>22</v>
      </c>
    </row>
    <row r="79" spans="1:18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N79">
        <f t="shared" si="2"/>
        <v>1076</v>
      </c>
      <c r="O79">
        <v>3</v>
      </c>
      <c r="P79">
        <v>0</v>
      </c>
      <c r="Q79">
        <v>61</v>
      </c>
      <c r="R79" s="10">
        <f t="shared" si="1"/>
        <v>23</v>
      </c>
    </row>
    <row r="80" spans="1:18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N80">
        <f t="shared" si="2"/>
        <v>1077</v>
      </c>
      <c r="O80">
        <v>3</v>
      </c>
      <c r="P80">
        <v>0</v>
      </c>
      <c r="Q80">
        <v>62</v>
      </c>
      <c r="R80" s="10">
        <f t="shared" si="1"/>
        <v>23</v>
      </c>
    </row>
    <row r="81" spans="1:18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N81">
        <f t="shared" si="2"/>
        <v>1078</v>
      </c>
      <c r="O81">
        <v>3</v>
      </c>
      <c r="P81">
        <v>0</v>
      </c>
      <c r="Q81">
        <v>63</v>
      </c>
      <c r="R81" s="10">
        <f t="shared" si="1"/>
        <v>23</v>
      </c>
    </row>
    <row r="82" spans="1:18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N82">
        <f t="shared" si="2"/>
        <v>1079</v>
      </c>
      <c r="O82">
        <v>3</v>
      </c>
      <c r="P82">
        <v>0</v>
      </c>
      <c r="Q82">
        <v>64</v>
      </c>
      <c r="R82" s="10">
        <f t="shared" si="1"/>
        <v>24</v>
      </c>
    </row>
    <row r="83" spans="1:18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N83">
        <f t="shared" si="2"/>
        <v>1080</v>
      </c>
      <c r="O83">
        <v>3</v>
      </c>
      <c r="P83">
        <v>0</v>
      </c>
      <c r="Q83">
        <v>65</v>
      </c>
      <c r="R83" s="10">
        <f t="shared" si="1"/>
        <v>24</v>
      </c>
    </row>
    <row r="84" spans="1:18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N84">
        <f t="shared" si="2"/>
        <v>1081</v>
      </c>
      <c r="O84">
        <v>3</v>
      </c>
      <c r="P84">
        <v>0</v>
      </c>
      <c r="Q84">
        <v>66</v>
      </c>
      <c r="R84" s="10">
        <f t="shared" ref="R84:R118" si="3">3+INT((Q84-1)/3)</f>
        <v>24</v>
      </c>
    </row>
    <row r="85" spans="1:18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N85">
        <f t="shared" si="2"/>
        <v>1082</v>
      </c>
      <c r="O85">
        <v>3</v>
      </c>
      <c r="P85">
        <v>0</v>
      </c>
      <c r="Q85">
        <v>67</v>
      </c>
      <c r="R85" s="10">
        <f t="shared" si="3"/>
        <v>25</v>
      </c>
    </row>
    <row r="86" spans="1:18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N86">
        <f t="shared" si="2"/>
        <v>1083</v>
      </c>
      <c r="O86">
        <v>3</v>
      </c>
      <c r="P86">
        <v>0</v>
      </c>
      <c r="Q86">
        <v>68</v>
      </c>
      <c r="R86" s="10">
        <f t="shared" si="3"/>
        <v>25</v>
      </c>
    </row>
    <row r="87" spans="1:18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N87">
        <f t="shared" si="2"/>
        <v>1084</v>
      </c>
      <c r="O87">
        <v>3</v>
      </c>
      <c r="P87">
        <v>0</v>
      </c>
      <c r="Q87">
        <v>69</v>
      </c>
      <c r="R87" s="10">
        <f t="shared" si="3"/>
        <v>25</v>
      </c>
    </row>
    <row r="88" spans="1:18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N88">
        <f t="shared" si="2"/>
        <v>1085</v>
      </c>
      <c r="O88">
        <v>3</v>
      </c>
      <c r="P88">
        <v>0</v>
      </c>
      <c r="Q88">
        <v>70</v>
      </c>
      <c r="R88" s="10">
        <f t="shared" si="3"/>
        <v>26</v>
      </c>
    </row>
    <row r="89" spans="1:18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N89">
        <f t="shared" si="2"/>
        <v>1086</v>
      </c>
      <c r="O89">
        <v>3</v>
      </c>
      <c r="P89">
        <v>0</v>
      </c>
      <c r="Q89">
        <v>71</v>
      </c>
      <c r="R89" s="10">
        <f t="shared" si="3"/>
        <v>26</v>
      </c>
    </row>
    <row r="90" spans="1:18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N90">
        <f t="shared" si="2"/>
        <v>1087</v>
      </c>
      <c r="O90">
        <v>3</v>
      </c>
      <c r="P90">
        <v>0</v>
      </c>
      <c r="Q90">
        <v>72</v>
      </c>
      <c r="R90" s="10">
        <f t="shared" si="3"/>
        <v>26</v>
      </c>
    </row>
    <row r="91" spans="1:18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N91">
        <f t="shared" si="2"/>
        <v>1088</v>
      </c>
      <c r="O91">
        <v>3</v>
      </c>
      <c r="P91">
        <v>0</v>
      </c>
      <c r="Q91">
        <v>73</v>
      </c>
      <c r="R91" s="10">
        <f t="shared" si="3"/>
        <v>27</v>
      </c>
    </row>
    <row r="92" spans="1:18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N92">
        <f t="shared" si="2"/>
        <v>1089</v>
      </c>
      <c r="O92">
        <v>3</v>
      </c>
      <c r="P92">
        <v>0</v>
      </c>
      <c r="Q92">
        <v>74</v>
      </c>
      <c r="R92" s="10">
        <f t="shared" si="3"/>
        <v>27</v>
      </c>
    </row>
    <row r="93" spans="1:18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N93">
        <f t="shared" si="2"/>
        <v>1090</v>
      </c>
      <c r="O93">
        <v>3</v>
      </c>
      <c r="P93">
        <v>0</v>
      </c>
      <c r="Q93">
        <v>75</v>
      </c>
      <c r="R93" s="10">
        <f t="shared" si="3"/>
        <v>27</v>
      </c>
    </row>
    <row r="94" spans="1:18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N94">
        <f t="shared" si="2"/>
        <v>1091</v>
      </c>
      <c r="O94">
        <v>3</v>
      </c>
      <c r="P94">
        <v>0</v>
      </c>
      <c r="Q94">
        <v>76</v>
      </c>
      <c r="R94" s="10">
        <f t="shared" si="3"/>
        <v>28</v>
      </c>
    </row>
    <row r="95" spans="1:18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N95">
        <f t="shared" si="2"/>
        <v>1092</v>
      </c>
      <c r="O95">
        <v>3</v>
      </c>
      <c r="P95">
        <v>0</v>
      </c>
      <c r="Q95">
        <v>77</v>
      </c>
      <c r="R95" s="10">
        <f t="shared" si="3"/>
        <v>28</v>
      </c>
    </row>
    <row r="96" spans="1:18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N96">
        <f t="shared" si="2"/>
        <v>1093</v>
      </c>
      <c r="O96">
        <v>3</v>
      </c>
      <c r="P96">
        <v>0</v>
      </c>
      <c r="Q96">
        <v>78</v>
      </c>
      <c r="R96" s="10">
        <f t="shared" si="3"/>
        <v>28</v>
      </c>
    </row>
    <row r="97" spans="1:18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N97">
        <f t="shared" si="2"/>
        <v>1094</v>
      </c>
      <c r="O97">
        <v>3</v>
      </c>
      <c r="P97">
        <v>0</v>
      </c>
      <c r="Q97">
        <v>79</v>
      </c>
      <c r="R97" s="10">
        <f t="shared" si="3"/>
        <v>29</v>
      </c>
    </row>
    <row r="98" spans="1:18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N98">
        <f t="shared" si="2"/>
        <v>1095</v>
      </c>
      <c r="O98">
        <v>3</v>
      </c>
      <c r="P98">
        <v>0</v>
      </c>
      <c r="Q98">
        <v>80</v>
      </c>
      <c r="R98" s="10">
        <f t="shared" si="3"/>
        <v>29</v>
      </c>
    </row>
    <row r="99" spans="1:18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N99">
        <f t="shared" si="2"/>
        <v>1096</v>
      </c>
      <c r="O99">
        <v>3</v>
      </c>
      <c r="P99">
        <v>0</v>
      </c>
      <c r="Q99">
        <v>81</v>
      </c>
      <c r="R99" s="10">
        <f t="shared" si="3"/>
        <v>29</v>
      </c>
    </row>
    <row r="100" spans="1:18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N100">
        <f t="shared" si="2"/>
        <v>1097</v>
      </c>
      <c r="O100">
        <v>3</v>
      </c>
      <c r="P100">
        <v>0</v>
      </c>
      <c r="Q100">
        <v>82</v>
      </c>
      <c r="R100" s="10">
        <f t="shared" si="3"/>
        <v>30</v>
      </c>
    </row>
    <row r="101" spans="1:18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N101">
        <f t="shared" si="2"/>
        <v>1098</v>
      </c>
      <c r="O101">
        <v>3</v>
      </c>
      <c r="P101">
        <v>0</v>
      </c>
      <c r="Q101">
        <v>83</v>
      </c>
      <c r="R101" s="10">
        <f t="shared" si="3"/>
        <v>30</v>
      </c>
    </row>
    <row r="102" spans="1:18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N102">
        <f t="shared" si="2"/>
        <v>1099</v>
      </c>
      <c r="O102">
        <v>3</v>
      </c>
      <c r="P102">
        <v>0</v>
      </c>
      <c r="Q102">
        <v>84</v>
      </c>
      <c r="R102" s="10">
        <f t="shared" si="3"/>
        <v>30</v>
      </c>
    </row>
    <row r="103" spans="1:18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N103">
        <f t="shared" si="2"/>
        <v>1100</v>
      </c>
      <c r="O103">
        <v>3</v>
      </c>
      <c r="P103">
        <v>0</v>
      </c>
      <c r="Q103">
        <v>85</v>
      </c>
      <c r="R103" s="10">
        <f t="shared" si="3"/>
        <v>31</v>
      </c>
    </row>
    <row r="104" spans="1:18">
      <c r="A104" s="4">
        <v>1</v>
      </c>
      <c r="B104" s="5">
        <v>1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N104">
        <f t="shared" si="2"/>
        <v>1101</v>
      </c>
      <c r="O104">
        <v>3</v>
      </c>
      <c r="P104">
        <v>0</v>
      </c>
      <c r="Q104">
        <v>86</v>
      </c>
      <c r="R104" s="10">
        <f t="shared" si="3"/>
        <v>31</v>
      </c>
    </row>
    <row r="105" spans="1:18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N105">
        <f t="shared" si="2"/>
        <v>1102</v>
      </c>
      <c r="O105">
        <v>3</v>
      </c>
      <c r="P105">
        <v>0</v>
      </c>
      <c r="Q105">
        <v>87</v>
      </c>
      <c r="R105" s="10">
        <f t="shared" si="3"/>
        <v>31</v>
      </c>
    </row>
    <row r="106" spans="1:18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N106">
        <f t="shared" si="2"/>
        <v>1103</v>
      </c>
      <c r="O106">
        <v>3</v>
      </c>
      <c r="P106">
        <v>0</v>
      </c>
      <c r="Q106">
        <v>88</v>
      </c>
      <c r="R106" s="10">
        <f t="shared" si="3"/>
        <v>32</v>
      </c>
    </row>
    <row r="107" spans="1:18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N107">
        <f t="shared" si="2"/>
        <v>1104</v>
      </c>
      <c r="O107">
        <v>3</v>
      </c>
      <c r="P107">
        <v>0</v>
      </c>
      <c r="Q107">
        <v>89</v>
      </c>
      <c r="R107" s="10">
        <f t="shared" si="3"/>
        <v>32</v>
      </c>
    </row>
    <row r="108" spans="1:18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N108">
        <f t="shared" si="2"/>
        <v>1105</v>
      </c>
      <c r="O108">
        <v>3</v>
      </c>
      <c r="P108">
        <v>0</v>
      </c>
      <c r="Q108">
        <v>90</v>
      </c>
      <c r="R108" s="10">
        <f t="shared" si="3"/>
        <v>32</v>
      </c>
    </row>
    <row r="109" spans="1:18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N109">
        <f t="shared" si="2"/>
        <v>1106</v>
      </c>
      <c r="O109">
        <v>3</v>
      </c>
      <c r="P109">
        <v>0</v>
      </c>
      <c r="Q109">
        <v>91</v>
      </c>
      <c r="R109" s="10">
        <f t="shared" si="3"/>
        <v>33</v>
      </c>
    </row>
    <row r="110" spans="1:18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N110">
        <f t="shared" si="2"/>
        <v>1107</v>
      </c>
      <c r="O110">
        <v>3</v>
      </c>
      <c r="P110">
        <v>0</v>
      </c>
      <c r="Q110">
        <v>92</v>
      </c>
      <c r="R110" s="10">
        <f t="shared" si="3"/>
        <v>33</v>
      </c>
    </row>
    <row r="111" spans="1:18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N111">
        <f t="shared" si="2"/>
        <v>1108</v>
      </c>
      <c r="O111">
        <v>3</v>
      </c>
      <c r="P111">
        <v>0</v>
      </c>
      <c r="Q111">
        <v>93</v>
      </c>
      <c r="R111" s="10">
        <f t="shared" si="3"/>
        <v>33</v>
      </c>
    </row>
    <row r="112" spans="1:18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N112">
        <f t="shared" si="2"/>
        <v>1109</v>
      </c>
      <c r="O112">
        <v>3</v>
      </c>
      <c r="P112">
        <v>0</v>
      </c>
      <c r="Q112">
        <v>94</v>
      </c>
      <c r="R112" s="10">
        <f t="shared" si="3"/>
        <v>34</v>
      </c>
    </row>
    <row r="113" spans="1:18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N113">
        <f t="shared" si="2"/>
        <v>1110</v>
      </c>
      <c r="O113">
        <v>3</v>
      </c>
      <c r="P113">
        <v>0</v>
      </c>
      <c r="Q113">
        <v>95</v>
      </c>
      <c r="R113" s="10">
        <f t="shared" si="3"/>
        <v>34</v>
      </c>
    </row>
    <row r="114" spans="1:18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N114">
        <f t="shared" si="2"/>
        <v>1111</v>
      </c>
      <c r="O114">
        <v>3</v>
      </c>
      <c r="P114">
        <v>0</v>
      </c>
      <c r="Q114">
        <v>96</v>
      </c>
      <c r="R114" s="10">
        <f t="shared" si="3"/>
        <v>34</v>
      </c>
    </row>
    <row r="115" spans="1:18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N115">
        <f t="shared" si="2"/>
        <v>1112</v>
      </c>
      <c r="O115">
        <v>3</v>
      </c>
      <c r="P115">
        <v>0</v>
      </c>
      <c r="Q115">
        <v>97</v>
      </c>
      <c r="R115" s="10">
        <f t="shared" si="3"/>
        <v>35</v>
      </c>
    </row>
    <row r="116" spans="1:18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N116">
        <f t="shared" si="2"/>
        <v>1113</v>
      </c>
      <c r="O116">
        <v>3</v>
      </c>
      <c r="P116">
        <v>0</v>
      </c>
      <c r="Q116">
        <v>98</v>
      </c>
      <c r="R116" s="10">
        <f t="shared" si="3"/>
        <v>35</v>
      </c>
    </row>
    <row r="117" spans="1:18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N117">
        <f t="shared" si="2"/>
        <v>1114</v>
      </c>
      <c r="O117">
        <v>3</v>
      </c>
      <c r="P117">
        <v>0</v>
      </c>
      <c r="Q117">
        <v>99</v>
      </c>
      <c r="R117" s="10">
        <f t="shared" si="3"/>
        <v>35</v>
      </c>
    </row>
    <row r="118" spans="1:18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N118">
        <f t="shared" si="2"/>
        <v>1115</v>
      </c>
      <c r="O118">
        <v>3</v>
      </c>
      <c r="P118">
        <v>0</v>
      </c>
      <c r="Q118">
        <v>100</v>
      </c>
      <c r="R118" s="10">
        <f t="shared" si="3"/>
        <v>36</v>
      </c>
    </row>
  </sheetData>
  <phoneticPr fontId="2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4CA0-6903-4661-B733-289E5E0C8A82}">
  <sheetPr codeName="Sheet6"/>
  <dimension ref="A7:O42"/>
  <sheetViews>
    <sheetView topLeftCell="A7" workbookViewId="0">
      <selection activeCell="K37" sqref="K37"/>
    </sheetView>
  </sheetViews>
  <sheetFormatPr baseColWidth="10" defaultColWidth="8.83203125" defaultRowHeight="15"/>
  <cols>
    <col min="14" max="14" width="40" customWidth="1"/>
    <col min="15" max="15" width="70.83203125" customWidth="1"/>
  </cols>
  <sheetData>
    <row r="7" spans="1:15">
      <c r="A7" s="51" t="s">
        <v>523</v>
      </c>
      <c r="B7" s="52">
        <v>1</v>
      </c>
      <c r="C7" s="52"/>
      <c r="D7" s="52"/>
      <c r="E7" s="52"/>
      <c r="F7" s="52">
        <v>1</v>
      </c>
      <c r="G7" s="52"/>
      <c r="H7" s="52"/>
      <c r="I7" s="52"/>
      <c r="J7" s="52"/>
      <c r="K7" s="1"/>
      <c r="L7" s="1"/>
      <c r="M7" s="53">
        <v>472</v>
      </c>
      <c r="N7" s="54" t="s">
        <v>474</v>
      </c>
      <c r="O7" s="55" t="s">
        <v>475</v>
      </c>
    </row>
    <row r="8" spans="1:15">
      <c r="A8" s="51">
        <v>4.91</v>
      </c>
      <c r="B8" s="52">
        <v>1</v>
      </c>
      <c r="C8" s="52"/>
      <c r="D8" s="52"/>
      <c r="E8" s="52"/>
      <c r="F8" s="52">
        <v>1</v>
      </c>
      <c r="G8" s="52"/>
      <c r="H8" s="52"/>
      <c r="I8" s="52"/>
      <c r="J8" s="52"/>
      <c r="K8" s="1"/>
      <c r="L8" s="1"/>
      <c r="M8" s="53">
        <v>472</v>
      </c>
      <c r="N8" s="54" t="s">
        <v>474</v>
      </c>
      <c r="O8" s="55" t="s">
        <v>476</v>
      </c>
    </row>
    <row r="9" spans="1:15">
      <c r="A9" s="51" t="s">
        <v>527</v>
      </c>
      <c r="B9" s="52">
        <v>1</v>
      </c>
      <c r="C9" s="52"/>
      <c r="D9" s="52"/>
      <c r="E9" s="52"/>
      <c r="F9" s="52">
        <v>1</v>
      </c>
      <c r="G9" s="52"/>
      <c r="H9" s="52"/>
      <c r="I9" s="52"/>
      <c r="J9" s="52"/>
      <c r="K9" s="1"/>
      <c r="L9" s="1"/>
      <c r="M9" s="53">
        <v>472</v>
      </c>
      <c r="N9" s="54" t="s">
        <v>474</v>
      </c>
      <c r="O9" s="55" t="s">
        <v>477</v>
      </c>
    </row>
    <row r="10" spans="1:15">
      <c r="A10" s="56" t="s">
        <v>524</v>
      </c>
      <c r="B10" s="57">
        <v>1</v>
      </c>
      <c r="C10" s="57"/>
      <c r="D10" s="57"/>
      <c r="E10" s="57"/>
      <c r="F10" s="57">
        <v>1</v>
      </c>
      <c r="G10" s="57"/>
      <c r="H10" s="57"/>
      <c r="I10" s="57"/>
      <c r="J10" s="57"/>
      <c r="K10" s="58"/>
      <c r="L10" s="58"/>
      <c r="M10" s="53">
        <v>472</v>
      </c>
      <c r="N10" s="54" t="s">
        <v>474</v>
      </c>
      <c r="O10" s="59" t="s">
        <v>478</v>
      </c>
    </row>
    <row r="11" spans="1:15">
      <c r="A11" s="56" t="s">
        <v>525</v>
      </c>
      <c r="B11" s="57">
        <v>1</v>
      </c>
      <c r="C11" s="57"/>
      <c r="D11" s="57"/>
      <c r="E11" s="57"/>
      <c r="F11" s="57">
        <v>1</v>
      </c>
      <c r="G11" s="57"/>
      <c r="H11" s="57"/>
      <c r="I11" s="57"/>
      <c r="J11" s="57"/>
      <c r="K11" s="58"/>
      <c r="L11" s="58"/>
      <c r="M11" s="53">
        <v>472</v>
      </c>
      <c r="N11" s="54" t="s">
        <v>474</v>
      </c>
      <c r="O11" s="59" t="s">
        <v>479</v>
      </c>
    </row>
    <row r="12" spans="1:15">
      <c r="A12" s="56" t="s">
        <v>526</v>
      </c>
      <c r="B12" s="57">
        <v>1</v>
      </c>
      <c r="C12" s="57"/>
      <c r="D12" s="57"/>
      <c r="E12" s="57"/>
      <c r="F12" s="57">
        <v>1</v>
      </c>
      <c r="G12" s="57"/>
      <c r="H12" s="57"/>
      <c r="I12" s="57"/>
      <c r="J12" s="57"/>
      <c r="K12" s="58"/>
      <c r="L12" s="58"/>
      <c r="M12" s="53">
        <v>472</v>
      </c>
      <c r="N12" s="54" t="s">
        <v>474</v>
      </c>
      <c r="O12" s="59" t="s">
        <v>480</v>
      </c>
    </row>
    <row r="13" spans="1:15">
      <c r="A13" s="56" t="s">
        <v>481</v>
      </c>
      <c r="B13" s="57">
        <v>1</v>
      </c>
      <c r="C13" s="57"/>
      <c r="D13" s="57"/>
      <c r="E13" s="57"/>
      <c r="F13" s="57">
        <v>1</v>
      </c>
      <c r="G13" s="57"/>
      <c r="H13" s="57"/>
      <c r="I13" s="57"/>
      <c r="J13" s="57"/>
      <c r="K13" s="58"/>
      <c r="L13" s="58"/>
      <c r="M13" s="53">
        <v>472</v>
      </c>
      <c r="N13" s="54" t="s">
        <v>474</v>
      </c>
      <c r="O13" s="59" t="s">
        <v>482</v>
      </c>
    </row>
    <row r="14" spans="1:15">
      <c r="A14" s="51">
        <v>4.0999999999999996</v>
      </c>
      <c r="B14" s="60">
        <v>1</v>
      </c>
      <c r="C14" s="60">
        <v>1</v>
      </c>
      <c r="D14" s="60">
        <v>1</v>
      </c>
      <c r="E14" s="60">
        <v>1</v>
      </c>
      <c r="F14" s="60">
        <v>1</v>
      </c>
      <c r="G14" s="60">
        <v>1</v>
      </c>
      <c r="H14" s="60">
        <v>1</v>
      </c>
      <c r="I14" s="60">
        <v>1</v>
      </c>
      <c r="J14" s="60">
        <v>1</v>
      </c>
      <c r="K14" s="1"/>
      <c r="L14" s="1"/>
      <c r="M14" s="53">
        <v>473</v>
      </c>
      <c r="N14" s="54" t="s">
        <v>483</v>
      </c>
      <c r="O14" s="55" t="s">
        <v>484</v>
      </c>
    </row>
    <row r="15" spans="1:15">
      <c r="A15" s="51">
        <v>4.5999999999999996</v>
      </c>
      <c r="B15" s="60">
        <v>1</v>
      </c>
      <c r="C15" s="60">
        <v>1</v>
      </c>
      <c r="D15" s="60">
        <v>1</v>
      </c>
      <c r="E15" s="60">
        <v>1</v>
      </c>
      <c r="F15" s="60">
        <v>1</v>
      </c>
      <c r="G15" s="60">
        <v>1</v>
      </c>
      <c r="H15" s="60">
        <v>1</v>
      </c>
      <c r="I15" s="60">
        <v>1</v>
      </c>
      <c r="J15" s="60">
        <v>1</v>
      </c>
      <c r="K15" s="1"/>
      <c r="L15" s="1"/>
      <c r="M15" s="53">
        <v>473</v>
      </c>
      <c r="N15" s="54" t="s">
        <v>483</v>
      </c>
      <c r="O15" s="55" t="s">
        <v>485</v>
      </c>
    </row>
    <row r="16" spans="1:15">
      <c r="A16" s="51">
        <v>4.91</v>
      </c>
      <c r="B16" s="60">
        <v>1</v>
      </c>
      <c r="C16" s="60">
        <v>1</v>
      </c>
      <c r="D16" s="60">
        <v>1</v>
      </c>
      <c r="E16" s="60">
        <v>1</v>
      </c>
      <c r="F16" s="60">
        <v>1</v>
      </c>
      <c r="G16" s="60">
        <v>1</v>
      </c>
      <c r="H16" s="60">
        <v>1</v>
      </c>
      <c r="I16" s="60">
        <v>1</v>
      </c>
      <c r="J16" s="60">
        <v>1</v>
      </c>
      <c r="K16" s="1"/>
      <c r="L16" s="1"/>
      <c r="M16" s="53">
        <v>473</v>
      </c>
      <c r="N16" s="54" t="s">
        <v>483</v>
      </c>
      <c r="O16" s="55" t="s">
        <v>486</v>
      </c>
    </row>
    <row r="17" spans="1:15">
      <c r="A17" s="51" t="s">
        <v>528</v>
      </c>
      <c r="B17" s="60">
        <v>1</v>
      </c>
      <c r="C17" s="60">
        <v>1</v>
      </c>
      <c r="D17" s="60">
        <v>1</v>
      </c>
      <c r="E17" s="60">
        <v>1</v>
      </c>
      <c r="F17" s="60">
        <v>1</v>
      </c>
      <c r="G17" s="60">
        <v>1</v>
      </c>
      <c r="H17" s="60">
        <v>1</v>
      </c>
      <c r="I17" s="60">
        <v>1</v>
      </c>
      <c r="J17" s="60">
        <v>1</v>
      </c>
      <c r="K17" s="1"/>
      <c r="L17" s="1"/>
      <c r="M17" s="53">
        <v>473</v>
      </c>
      <c r="N17" s="54" t="s">
        <v>483</v>
      </c>
      <c r="O17" s="55" t="s">
        <v>487</v>
      </c>
    </row>
    <row r="18" spans="1:15">
      <c r="A18" s="51" t="s">
        <v>481</v>
      </c>
      <c r="B18" s="60">
        <v>1</v>
      </c>
      <c r="C18" s="60">
        <v>1</v>
      </c>
      <c r="D18" s="60">
        <v>1</v>
      </c>
      <c r="E18" s="60">
        <v>1</v>
      </c>
      <c r="F18" s="60">
        <v>1</v>
      </c>
      <c r="G18" s="60">
        <v>1</v>
      </c>
      <c r="H18" s="60">
        <v>1</v>
      </c>
      <c r="I18" s="60">
        <v>1</v>
      </c>
      <c r="J18" s="60">
        <v>1</v>
      </c>
      <c r="K18" s="1"/>
      <c r="L18" s="1"/>
      <c r="M18" s="53">
        <v>473</v>
      </c>
      <c r="N18" s="54" t="s">
        <v>483</v>
      </c>
      <c r="O18" s="55" t="s">
        <v>488</v>
      </c>
    </row>
    <row r="19" spans="1:15">
      <c r="A19" s="51">
        <v>4.0999999999999996</v>
      </c>
      <c r="B19" s="60">
        <v>1</v>
      </c>
      <c r="C19" s="60">
        <v>1</v>
      </c>
      <c r="D19" s="60">
        <v>1</v>
      </c>
      <c r="E19" s="60">
        <v>1</v>
      </c>
      <c r="F19" s="60">
        <v>1</v>
      </c>
      <c r="G19" s="60">
        <v>1</v>
      </c>
      <c r="H19" s="60">
        <v>1</v>
      </c>
      <c r="I19" s="60">
        <v>1</v>
      </c>
      <c r="J19" s="60">
        <v>1</v>
      </c>
      <c r="K19" s="1"/>
      <c r="L19" s="1"/>
      <c r="M19" s="53">
        <v>474</v>
      </c>
      <c r="N19" s="54" t="s">
        <v>489</v>
      </c>
      <c r="O19" s="55" t="s">
        <v>490</v>
      </c>
    </row>
    <row r="20" spans="1:15">
      <c r="A20" s="51" t="s">
        <v>529</v>
      </c>
      <c r="B20" s="60">
        <v>1</v>
      </c>
      <c r="C20" s="60">
        <v>1</v>
      </c>
      <c r="D20" s="60">
        <v>1</v>
      </c>
      <c r="E20" s="60">
        <v>1</v>
      </c>
      <c r="F20" s="60">
        <v>1</v>
      </c>
      <c r="G20" s="60">
        <v>1</v>
      </c>
      <c r="H20" s="60">
        <v>1</v>
      </c>
      <c r="I20" s="60">
        <v>1</v>
      </c>
      <c r="J20" s="60">
        <v>1</v>
      </c>
      <c r="K20" s="1"/>
      <c r="L20" s="1"/>
      <c r="M20" s="53">
        <v>474</v>
      </c>
      <c r="N20" s="54" t="s">
        <v>489</v>
      </c>
      <c r="O20" s="55" t="s">
        <v>491</v>
      </c>
    </row>
    <row r="21" spans="1:15">
      <c r="A21" s="51" t="s">
        <v>492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>
        <v>1</v>
      </c>
      <c r="J21" s="60">
        <v>1</v>
      </c>
      <c r="K21" s="1"/>
      <c r="L21" s="1"/>
      <c r="M21" s="53">
        <v>474</v>
      </c>
      <c r="N21" s="54" t="s">
        <v>489</v>
      </c>
      <c r="O21" s="55" t="s">
        <v>493</v>
      </c>
    </row>
    <row r="22" spans="1:15">
      <c r="A22" s="5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/>
      <c r="L22" s="1"/>
      <c r="M22" s="1">
        <v>475</v>
      </c>
      <c r="N22" s="1" t="s">
        <v>494</v>
      </c>
      <c r="O22" s="55" t="s">
        <v>495</v>
      </c>
    </row>
    <row r="23" spans="1:15">
      <c r="A23" s="5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/>
      <c r="L23" s="1"/>
      <c r="M23" s="1">
        <v>476</v>
      </c>
      <c r="N23" s="1" t="s">
        <v>496</v>
      </c>
      <c r="O23" s="55">
        <v>7200</v>
      </c>
    </row>
    <row r="24" spans="1:15">
      <c r="A24" s="5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/>
      <c r="L24" s="1"/>
      <c r="M24" s="1">
        <v>477</v>
      </c>
      <c r="N24" s="1" t="s">
        <v>497</v>
      </c>
      <c r="O24" s="55">
        <v>90600</v>
      </c>
    </row>
    <row r="25" spans="1:15">
      <c r="A25" s="5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/>
      <c r="L25" s="1"/>
      <c r="M25" s="1">
        <v>478</v>
      </c>
      <c r="N25" s="1" t="s">
        <v>498</v>
      </c>
      <c r="O25" s="55" t="s">
        <v>499</v>
      </c>
    </row>
    <row r="26" spans="1:15">
      <c r="A26" s="56" t="s">
        <v>500</v>
      </c>
      <c r="B26" s="58">
        <v>1</v>
      </c>
      <c r="C26" s="58">
        <v>1</v>
      </c>
      <c r="D26" s="58">
        <v>1</v>
      </c>
      <c r="E26" s="58"/>
      <c r="F26" s="58"/>
      <c r="G26" s="58"/>
      <c r="H26" s="58"/>
      <c r="I26" s="58">
        <v>1</v>
      </c>
      <c r="J26" s="58"/>
      <c r="K26" s="58"/>
      <c r="L26" s="58"/>
      <c r="M26" s="1">
        <v>479</v>
      </c>
      <c r="N26" s="58" t="s">
        <v>501</v>
      </c>
      <c r="O26" s="59">
        <v>10800</v>
      </c>
    </row>
    <row r="27" spans="1:15">
      <c r="A27" s="56" t="s">
        <v>502</v>
      </c>
      <c r="B27" s="58">
        <v>1</v>
      </c>
      <c r="C27" s="58">
        <v>1</v>
      </c>
      <c r="D27" s="58">
        <v>1</v>
      </c>
      <c r="E27" s="58">
        <v>1</v>
      </c>
      <c r="F27" s="58">
        <v>1</v>
      </c>
      <c r="G27" s="58">
        <v>1</v>
      </c>
      <c r="H27" s="58">
        <v>1</v>
      </c>
      <c r="I27" s="58">
        <v>1</v>
      </c>
      <c r="J27" s="58">
        <v>1</v>
      </c>
      <c r="K27" s="58"/>
      <c r="L27" s="58"/>
      <c r="M27" s="53">
        <v>480</v>
      </c>
      <c r="N27" s="54" t="s">
        <v>503</v>
      </c>
      <c r="O27" s="59">
        <v>6</v>
      </c>
    </row>
    <row r="28" spans="1:15">
      <c r="A28" s="56">
        <v>3.3</v>
      </c>
      <c r="B28" s="58">
        <v>1</v>
      </c>
      <c r="C28" s="58">
        <v>1</v>
      </c>
      <c r="D28" s="58">
        <v>1</v>
      </c>
      <c r="E28" s="58">
        <v>1</v>
      </c>
      <c r="F28" s="58">
        <v>1</v>
      </c>
      <c r="G28" s="58">
        <v>1</v>
      </c>
      <c r="H28" s="58">
        <v>1</v>
      </c>
      <c r="I28" s="58">
        <v>1</v>
      </c>
      <c r="J28" s="58">
        <v>1</v>
      </c>
      <c r="K28" s="58"/>
      <c r="L28" s="58"/>
      <c r="M28" s="53">
        <v>480</v>
      </c>
      <c r="N28" s="54" t="s">
        <v>503</v>
      </c>
      <c r="O28" s="59" t="s">
        <v>504</v>
      </c>
    </row>
    <row r="29" spans="1:15">
      <c r="A29" s="56" t="s">
        <v>505</v>
      </c>
      <c r="B29" s="58">
        <v>1</v>
      </c>
      <c r="C29" s="58">
        <v>1</v>
      </c>
      <c r="D29" s="58" t="s">
        <v>506</v>
      </c>
      <c r="E29" s="58" t="s">
        <v>505</v>
      </c>
      <c r="F29" s="58" t="s">
        <v>505</v>
      </c>
      <c r="G29" s="58" t="s">
        <v>506</v>
      </c>
      <c r="H29" s="58" t="s">
        <v>506</v>
      </c>
      <c r="I29" s="58">
        <v>1</v>
      </c>
      <c r="J29" s="58" t="s">
        <v>506</v>
      </c>
      <c r="K29" s="58"/>
      <c r="L29" s="58"/>
      <c r="M29" s="53">
        <v>480</v>
      </c>
      <c r="N29" s="54" t="s">
        <v>503</v>
      </c>
      <c r="O29" s="59" t="s">
        <v>507</v>
      </c>
    </row>
    <row r="30" spans="1:15">
      <c r="A30" s="56" t="s">
        <v>505</v>
      </c>
      <c r="B30" s="58">
        <v>1</v>
      </c>
      <c r="C30" s="58">
        <v>1</v>
      </c>
      <c r="D30" s="58" t="s">
        <v>506</v>
      </c>
      <c r="E30" s="58">
        <v>1</v>
      </c>
      <c r="F30" s="58">
        <v>1</v>
      </c>
      <c r="G30" s="58" t="s">
        <v>506</v>
      </c>
      <c r="H30" s="58" t="s">
        <v>506</v>
      </c>
      <c r="I30" s="58">
        <v>1</v>
      </c>
      <c r="J30" s="58" t="s">
        <v>506</v>
      </c>
      <c r="K30" s="58"/>
      <c r="L30" s="58"/>
      <c r="M30" s="1">
        <v>481</v>
      </c>
      <c r="N30" s="58" t="s">
        <v>508</v>
      </c>
      <c r="O30" s="59">
        <v>5</v>
      </c>
    </row>
    <row r="31" spans="1:15">
      <c r="A31" s="51">
        <v>3.7</v>
      </c>
      <c r="B31" s="1">
        <v>1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/>
      <c r="L31" s="1"/>
      <c r="M31" s="53">
        <v>482</v>
      </c>
      <c r="N31" s="54" t="s">
        <v>509</v>
      </c>
      <c r="O31" s="55">
        <v>8</v>
      </c>
    </row>
    <row r="32" spans="1:15">
      <c r="A32" s="51" t="s">
        <v>510</v>
      </c>
      <c r="B32" s="1">
        <v>1</v>
      </c>
      <c r="C32" s="1">
        <v>1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/>
      <c r="L32" s="1"/>
      <c r="M32" s="53">
        <v>482</v>
      </c>
      <c r="N32" s="54" t="s">
        <v>509</v>
      </c>
      <c r="O32" s="55">
        <v>7</v>
      </c>
    </row>
    <row r="33" spans="1:15">
      <c r="A33" s="56" t="s">
        <v>511</v>
      </c>
      <c r="B33" s="58">
        <v>1</v>
      </c>
      <c r="C33" s="58">
        <v>1</v>
      </c>
      <c r="D33" s="58">
        <v>1</v>
      </c>
      <c r="E33" s="58">
        <v>1</v>
      </c>
      <c r="F33" s="58">
        <v>1</v>
      </c>
      <c r="G33" s="58">
        <v>1</v>
      </c>
      <c r="H33" s="58">
        <v>1</v>
      </c>
      <c r="I33" s="58">
        <v>1</v>
      </c>
      <c r="J33" s="58">
        <v>1</v>
      </c>
      <c r="K33" s="58"/>
      <c r="L33" s="58"/>
      <c r="M33" s="53">
        <v>483</v>
      </c>
      <c r="N33" s="54" t="s">
        <v>512</v>
      </c>
      <c r="O33" s="59">
        <v>4</v>
      </c>
    </row>
    <row r="34" spans="1:15">
      <c r="A34" s="56">
        <v>3.5</v>
      </c>
      <c r="B34" s="58">
        <v>1</v>
      </c>
      <c r="C34" s="58">
        <v>1</v>
      </c>
      <c r="D34" s="58">
        <v>1</v>
      </c>
      <c r="E34" s="58">
        <v>1</v>
      </c>
      <c r="F34" s="58">
        <v>1</v>
      </c>
      <c r="G34" s="58">
        <v>1</v>
      </c>
      <c r="H34" s="58">
        <v>1</v>
      </c>
      <c r="I34" s="58">
        <v>1</v>
      </c>
      <c r="J34" s="58">
        <v>1</v>
      </c>
      <c r="K34" s="58"/>
      <c r="L34" s="58"/>
      <c r="M34" s="53">
        <v>483</v>
      </c>
      <c r="N34" s="54" t="s">
        <v>512</v>
      </c>
      <c r="O34" s="59">
        <v>3</v>
      </c>
    </row>
    <row r="35" spans="1:15">
      <c r="A35" s="56" t="s">
        <v>505</v>
      </c>
      <c r="B35" s="58">
        <v>1</v>
      </c>
      <c r="C35" s="58">
        <v>1</v>
      </c>
      <c r="D35" s="58" t="s">
        <v>506</v>
      </c>
      <c r="E35" s="58">
        <v>1</v>
      </c>
      <c r="F35" s="58">
        <v>1</v>
      </c>
      <c r="G35" s="58" t="s">
        <v>506</v>
      </c>
      <c r="H35" s="58" t="s">
        <v>506</v>
      </c>
      <c r="I35" s="58">
        <v>1</v>
      </c>
      <c r="J35" s="58" t="s">
        <v>506</v>
      </c>
      <c r="K35" s="58"/>
      <c r="L35" s="58"/>
      <c r="M35" s="53">
        <v>483</v>
      </c>
      <c r="N35" s="54" t="s">
        <v>512</v>
      </c>
      <c r="O35" s="59">
        <v>1</v>
      </c>
    </row>
    <row r="36" spans="1:15">
      <c r="A36" s="51">
        <v>3.5</v>
      </c>
      <c r="B36" s="1">
        <v>1</v>
      </c>
      <c r="C36" s="1">
        <v>1</v>
      </c>
      <c r="D36" s="1">
        <v>1</v>
      </c>
      <c r="E36" s="1">
        <v>1</v>
      </c>
      <c r="F36" s="1">
        <v>1</v>
      </c>
      <c r="G36" s="1">
        <v>1</v>
      </c>
      <c r="H36" s="1">
        <v>1</v>
      </c>
      <c r="I36" s="1">
        <v>1</v>
      </c>
      <c r="J36" s="1">
        <v>1</v>
      </c>
      <c r="K36" s="1"/>
      <c r="L36" s="1"/>
      <c r="M36" s="53">
        <v>484</v>
      </c>
      <c r="N36" s="54" t="s">
        <v>513</v>
      </c>
      <c r="O36" s="55">
        <v>25</v>
      </c>
    </row>
    <row r="37" spans="1:15">
      <c r="A37" s="51" t="s">
        <v>514</v>
      </c>
      <c r="B37" s="1">
        <v>1</v>
      </c>
      <c r="C37" s="1">
        <v>1</v>
      </c>
      <c r="D37" s="1">
        <v>1</v>
      </c>
      <c r="E37" s="1">
        <v>1</v>
      </c>
      <c r="F37" s="1">
        <v>1</v>
      </c>
      <c r="G37" s="1">
        <v>1</v>
      </c>
      <c r="H37" s="1">
        <v>1</v>
      </c>
      <c r="I37" s="1">
        <v>1</v>
      </c>
      <c r="J37" s="1">
        <v>1</v>
      </c>
      <c r="K37" s="1"/>
      <c r="L37" s="1"/>
      <c r="M37" s="53">
        <v>484</v>
      </c>
      <c r="N37" s="54" t="s">
        <v>513</v>
      </c>
      <c r="O37" s="55">
        <v>10</v>
      </c>
    </row>
    <row r="38" spans="1:15">
      <c r="A38" s="51">
        <v>1</v>
      </c>
      <c r="B38" s="1">
        <v>1</v>
      </c>
      <c r="C38" s="1">
        <v>1</v>
      </c>
      <c r="D38" s="1">
        <v>1</v>
      </c>
      <c r="E38" s="1">
        <v>1</v>
      </c>
      <c r="F38" s="1">
        <v>1</v>
      </c>
      <c r="G38" s="1">
        <v>1</v>
      </c>
      <c r="H38" s="1">
        <v>1</v>
      </c>
      <c r="I38" s="1">
        <v>1</v>
      </c>
      <c r="J38" s="1">
        <v>1</v>
      </c>
      <c r="K38" s="1"/>
      <c r="L38" s="1"/>
      <c r="M38" s="1">
        <v>485</v>
      </c>
      <c r="N38" s="1" t="s">
        <v>515</v>
      </c>
      <c r="O38" s="55">
        <v>20</v>
      </c>
    </row>
    <row r="39" spans="1:15">
      <c r="A39" s="51">
        <v>1</v>
      </c>
      <c r="B39" s="1">
        <v>1</v>
      </c>
      <c r="C39" s="1">
        <v>1</v>
      </c>
      <c r="D39" s="1">
        <v>1</v>
      </c>
      <c r="E39" s="1">
        <v>1</v>
      </c>
      <c r="F39" s="1">
        <v>1</v>
      </c>
      <c r="G39" s="1">
        <v>1</v>
      </c>
      <c r="H39" s="1">
        <v>1</v>
      </c>
      <c r="I39" s="1">
        <v>1</v>
      </c>
      <c r="J39" s="1">
        <v>1</v>
      </c>
      <c r="K39" s="1"/>
      <c r="L39" s="1"/>
      <c r="M39" s="1">
        <v>486</v>
      </c>
      <c r="N39" s="1" t="s">
        <v>516</v>
      </c>
      <c r="O39" s="55">
        <v>14400</v>
      </c>
    </row>
    <row r="40" spans="1:15">
      <c r="A40" s="51">
        <v>1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/>
      <c r="L40" s="1"/>
      <c r="M40" s="1">
        <v>487</v>
      </c>
      <c r="N40" s="1" t="s">
        <v>517</v>
      </c>
      <c r="O40" s="55" t="s">
        <v>518</v>
      </c>
    </row>
    <row r="41" spans="1:15">
      <c r="A41" s="51" t="s">
        <v>519</v>
      </c>
      <c r="B41" s="1">
        <v>1</v>
      </c>
      <c r="C41" s="1">
        <v>1</v>
      </c>
      <c r="D41" s="1">
        <v>1</v>
      </c>
      <c r="E41" s="1">
        <v>1</v>
      </c>
      <c r="F41" s="1">
        <v>1</v>
      </c>
      <c r="G41" s="1">
        <v>1</v>
      </c>
      <c r="H41" s="1">
        <v>1</v>
      </c>
      <c r="I41" s="1">
        <v>1</v>
      </c>
      <c r="J41" s="1">
        <v>1</v>
      </c>
      <c r="K41" s="1"/>
      <c r="L41" s="1"/>
      <c r="M41" s="1">
        <v>488</v>
      </c>
      <c r="N41" s="1" t="s">
        <v>520</v>
      </c>
      <c r="O41" s="55" t="s">
        <v>521</v>
      </c>
    </row>
    <row r="42" spans="1:15">
      <c r="A42" s="51">
        <v>1</v>
      </c>
      <c r="B42" s="1">
        <v>1</v>
      </c>
      <c r="C42" s="1">
        <v>1</v>
      </c>
      <c r="D42" s="1">
        <v>1</v>
      </c>
      <c r="E42" s="1">
        <v>1</v>
      </c>
      <c r="F42" s="1">
        <v>1</v>
      </c>
      <c r="G42" s="1">
        <v>1</v>
      </c>
      <c r="H42" s="1">
        <v>1</v>
      </c>
      <c r="I42" s="1">
        <v>1</v>
      </c>
      <c r="J42" s="1">
        <v>1</v>
      </c>
      <c r="K42" s="1"/>
      <c r="L42" s="1"/>
      <c r="M42" s="1">
        <v>489</v>
      </c>
      <c r="N42" s="1" t="s">
        <v>522</v>
      </c>
      <c r="O42" s="55">
        <v>100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表格输出</vt:lpstr>
      <vt:lpstr>模板说明</vt:lpstr>
      <vt:lpstr>配置设置表</vt:lpstr>
      <vt:lpstr>说明表</vt:lpstr>
      <vt:lpstr>表名对照</vt:lpstr>
      <vt:lpstr>语言表</vt:lpstr>
      <vt:lpstr>系统表</vt:lpstr>
      <vt:lpstr>配置表</vt:lpstr>
      <vt:lpstr>物品表</vt:lpstr>
      <vt:lpstr>宝箱表</vt:lpstr>
      <vt:lpstr>属性强化表</vt:lpstr>
      <vt:lpstr>装备表</vt:lpstr>
      <vt:lpstr>玩家等级表</vt:lpstr>
      <vt:lpstr>关卡表</vt:lpstr>
      <vt:lpstr>等级效果表</vt:lpstr>
      <vt:lpstr>等级消耗表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青松 孙</cp:lastModifiedBy>
  <cp:revision/>
  <dcterms:created xsi:type="dcterms:W3CDTF">2015-06-05T18:19:34Z</dcterms:created>
  <dcterms:modified xsi:type="dcterms:W3CDTF">2026-03-11T06:30:43Z</dcterms:modified>
  <cp:category/>
  <cp:contentStatus/>
</cp:coreProperties>
</file>